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桌面\"/>
    </mc:Choice>
  </mc:AlternateContent>
  <xr:revisionPtr revIDLastSave="0" documentId="13_ncr:1_{CCF6D483-0CC3-414D-9FFB-5941D62742E3}" xr6:coauthVersionLast="47" xr6:coauthVersionMax="47" xr10:uidLastSave="{00000000-0000-0000-0000-000000000000}"/>
  <bookViews>
    <workbookView xWindow="-103" yWindow="-103" windowWidth="22149" windowHeight="13200" firstSheet="6" activeTab="8" xr2:uid="{00000000-000D-0000-FFFF-FFFF00000000}"/>
  </bookViews>
  <sheets>
    <sheet name="1_Oribatid abundance" sheetId="1" r:id="rId1"/>
    <sheet name="2_Oribatid traits" sheetId="9" r:id="rId2"/>
    <sheet name="2.1_Trait coding" sheetId="2" r:id="rId3"/>
    <sheet name="2.2_Trophic evidence" sheetId="4" r:id="rId4"/>
    <sheet name="2.3_Reproduction evidence" sheetId="5" r:id="rId5"/>
    <sheet name="2.4_Body size" sheetId="3" r:id="rId6"/>
    <sheet name="3_Ecological predictors" sheetId="6" r:id="rId7"/>
    <sheet name="4_Moss community" sheetId="7" r:id="rId8"/>
    <sheet name="5_Pairwise beta" sheetId="10" r:id="rId9"/>
    <sheet name="6_Pairwise landscape tests" sheetId="16" r:id="rId10"/>
  </sheets>
  <definedNames>
    <definedName name="_xlnm._FilterDatabase" localSheetId="1" hidden="1">'2_Oribatid traits'!$I$2:$I$69</definedName>
    <definedName name="_xlnm._FilterDatabase" localSheetId="8" hidden="1">'5_Pairwise beta'!$G$2:$G$304</definedName>
    <definedName name="_xlnm._FilterDatabase" localSheetId="9" hidden="1">'6_Pairwise landscape tests'!$G$2:$G$273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5" i="1" l="1"/>
  <c r="AF28" i="1" l="1"/>
  <c r="AG51" i="1" l="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2" i="1"/>
  <c r="AF5" i="1"/>
  <c r="AF6" i="1"/>
  <c r="AF7" i="1"/>
  <c r="AF8" i="1"/>
  <c r="AF9" i="1"/>
  <c r="AF10" i="1"/>
  <c r="AF11" i="1"/>
  <c r="AF12" i="1"/>
  <c r="AF13" i="1"/>
  <c r="AF14" i="1"/>
  <c r="AF15" i="1"/>
  <c r="AF16" i="1"/>
  <c r="AF17" i="1"/>
  <c r="AF18" i="1"/>
  <c r="AF19" i="1"/>
  <c r="AF20" i="1"/>
  <c r="AF21" i="1"/>
  <c r="AF22" i="1"/>
  <c r="AF23" i="1"/>
  <c r="AF24" i="1"/>
  <c r="AF25" i="1"/>
  <c r="AF26" i="1"/>
  <c r="AF27" i="1"/>
  <c r="AF29" i="1"/>
  <c r="AF30" i="1"/>
  <c r="AF31" i="1"/>
  <c r="AF32" i="1"/>
  <c r="AF33" i="1"/>
  <c r="AF34" i="1"/>
  <c r="AF35" i="1"/>
  <c r="AF36" i="1"/>
  <c r="AF37" i="1"/>
  <c r="AF38" i="1"/>
  <c r="AF39" i="1"/>
  <c r="AF40" i="1"/>
  <c r="AF41" i="1"/>
  <c r="AF42" i="1"/>
  <c r="AF43" i="1"/>
  <c r="AF44" i="1"/>
  <c r="AF45" i="1"/>
  <c r="AF46" i="1"/>
  <c r="AF47" i="1"/>
  <c r="AF48" i="1"/>
  <c r="AF49" i="1"/>
  <c r="AF50" i="1"/>
  <c r="AF51" i="1"/>
  <c r="AF52" i="1"/>
  <c r="AG4" i="1"/>
  <c r="G54" i="1"/>
  <c r="H54" i="1"/>
  <c r="I54" i="1"/>
  <c r="J54" i="1"/>
  <c r="K54" i="1"/>
  <c r="L54" i="1"/>
  <c r="M54" i="1"/>
  <c r="N54" i="1"/>
  <c r="O54" i="1"/>
  <c r="P54" i="1"/>
  <c r="Q54" i="1"/>
  <c r="R54" i="1"/>
  <c r="S54" i="1"/>
  <c r="T54" i="1"/>
  <c r="U54" i="1"/>
  <c r="V54" i="1"/>
  <c r="W54" i="1"/>
  <c r="X54" i="1"/>
  <c r="Y54" i="1"/>
  <c r="Z54" i="1"/>
  <c r="AA54" i="1"/>
  <c r="AB54" i="1"/>
  <c r="AC54" i="1"/>
  <c r="AD54" i="1"/>
  <c r="AE54" i="1"/>
  <c r="H55" i="1"/>
  <c r="I55" i="1"/>
  <c r="J55" i="1"/>
  <c r="K55" i="1"/>
  <c r="L55" i="1"/>
  <c r="M55" i="1"/>
  <c r="N55" i="1"/>
  <c r="O55" i="1"/>
  <c r="P55" i="1"/>
  <c r="Q55" i="1"/>
  <c r="R55" i="1"/>
  <c r="S55" i="1"/>
  <c r="T55" i="1"/>
  <c r="U55" i="1"/>
  <c r="V55" i="1"/>
  <c r="W55" i="1"/>
  <c r="X55" i="1"/>
  <c r="Y55" i="1"/>
  <c r="Z55" i="1"/>
  <c r="AA55" i="1"/>
  <c r="AB55" i="1"/>
  <c r="AC55" i="1"/>
  <c r="AD55" i="1"/>
  <c r="AE55" i="1"/>
  <c r="H422" i="4" l="1"/>
  <c r="G422" i="4"/>
  <c r="K418" i="4"/>
  <c r="J418" i="4"/>
  <c r="H411" i="4"/>
  <c r="G411" i="4"/>
  <c r="H388" i="4"/>
  <c r="G388" i="4"/>
  <c r="K385" i="4"/>
  <c r="J385" i="4"/>
  <c r="H381" i="4"/>
  <c r="G381" i="4"/>
  <c r="K378" i="4"/>
  <c r="J378" i="4"/>
  <c r="K376" i="4"/>
  <c r="J376" i="4"/>
  <c r="H374" i="4"/>
  <c r="G374" i="4"/>
  <c r="K371" i="4"/>
  <c r="J371" i="4"/>
  <c r="K368" i="4"/>
  <c r="J368" i="4"/>
  <c r="H364" i="4"/>
  <c r="H365" i="4" s="1"/>
  <c r="G364" i="4"/>
  <c r="G365" i="4" s="1"/>
  <c r="H355" i="4"/>
  <c r="G355" i="4"/>
  <c r="K353" i="4"/>
  <c r="J353" i="4"/>
  <c r="H350" i="4"/>
  <c r="G350" i="4"/>
  <c r="H346" i="4"/>
  <c r="G346" i="4"/>
  <c r="K343" i="4"/>
  <c r="J343" i="4"/>
  <c r="K340" i="4"/>
  <c r="J340" i="4"/>
  <c r="K336" i="4"/>
  <c r="J336" i="4"/>
  <c r="K331" i="4"/>
  <c r="J331" i="4"/>
  <c r="H329" i="4"/>
  <c r="G329" i="4"/>
  <c r="K323" i="4"/>
  <c r="J323" i="4"/>
  <c r="K320" i="4"/>
  <c r="J320" i="4"/>
  <c r="H316" i="4"/>
  <c r="H317" i="4" s="1"/>
  <c r="G316" i="4"/>
  <c r="G317" i="4" s="1"/>
  <c r="H313" i="4"/>
  <c r="G313" i="4"/>
  <c r="K306" i="4"/>
  <c r="J306" i="4"/>
  <c r="H304" i="4"/>
  <c r="G304" i="4"/>
  <c r="K302" i="4"/>
  <c r="J302" i="4"/>
  <c r="K300" i="4"/>
  <c r="J300" i="4"/>
  <c r="K298" i="4"/>
  <c r="J298" i="4"/>
  <c r="K294" i="4"/>
  <c r="J294" i="4"/>
  <c r="K292" i="4"/>
  <c r="J292" i="4"/>
  <c r="H290" i="4"/>
  <c r="G290" i="4"/>
  <c r="H287" i="4"/>
  <c r="G287" i="4"/>
  <c r="K283" i="4"/>
  <c r="J283" i="4"/>
  <c r="K281" i="4"/>
  <c r="J281" i="4"/>
  <c r="K276" i="4"/>
  <c r="J276" i="4"/>
  <c r="H272" i="4"/>
  <c r="G272" i="4"/>
  <c r="H269" i="4"/>
  <c r="G269" i="4"/>
  <c r="K265" i="4"/>
  <c r="J265" i="4"/>
  <c r="K263" i="4"/>
  <c r="J263" i="4"/>
  <c r="K260" i="4"/>
  <c r="J260" i="4"/>
  <c r="H258" i="4"/>
  <c r="G258" i="4"/>
  <c r="K255" i="4"/>
  <c r="J255" i="4"/>
  <c r="H253" i="4"/>
  <c r="G253" i="4"/>
  <c r="H250" i="4"/>
  <c r="G250" i="4"/>
  <c r="H247" i="4"/>
  <c r="G247" i="4"/>
  <c r="K244" i="4"/>
  <c r="J244" i="4"/>
  <c r="H240" i="4"/>
  <c r="G240" i="4"/>
  <c r="K235" i="4"/>
  <c r="J235" i="4"/>
  <c r="K230" i="4"/>
  <c r="J230" i="4"/>
  <c r="K224" i="4"/>
  <c r="J224" i="4"/>
  <c r="K220" i="4"/>
  <c r="J220" i="4"/>
  <c r="K218" i="4"/>
  <c r="J218" i="4"/>
  <c r="K214" i="4"/>
  <c r="J214" i="4"/>
  <c r="H212" i="4"/>
  <c r="G212" i="4"/>
  <c r="H207" i="4"/>
  <c r="G207" i="4"/>
  <c r="H206" i="4"/>
  <c r="G206" i="4"/>
  <c r="H180" i="4"/>
  <c r="G180" i="4"/>
  <c r="K178" i="4"/>
  <c r="J178" i="4"/>
  <c r="K173" i="4"/>
  <c r="J173" i="4"/>
  <c r="H171" i="4"/>
  <c r="G171" i="4"/>
  <c r="K166" i="4"/>
  <c r="J166" i="4"/>
  <c r="K164" i="4"/>
  <c r="J164" i="4"/>
  <c r="H162" i="4"/>
  <c r="G162" i="4"/>
  <c r="H157" i="4"/>
  <c r="G157" i="4"/>
  <c r="H153" i="4"/>
  <c r="G153" i="4"/>
  <c r="H148" i="4"/>
  <c r="G148" i="4"/>
  <c r="H140" i="4"/>
  <c r="G140" i="4"/>
  <c r="K137" i="4"/>
  <c r="J137" i="4"/>
  <c r="K131" i="4"/>
  <c r="J131" i="4"/>
  <c r="K129" i="4"/>
  <c r="J129" i="4"/>
  <c r="H127" i="4"/>
  <c r="G127" i="4"/>
  <c r="K117" i="4"/>
  <c r="J117" i="4"/>
  <c r="H115" i="4"/>
  <c r="G115" i="4"/>
  <c r="H112" i="4"/>
  <c r="G112" i="4"/>
  <c r="K109" i="4"/>
  <c r="J109" i="4"/>
  <c r="K105" i="4"/>
  <c r="J105" i="4"/>
  <c r="H103" i="4"/>
  <c r="G103" i="4"/>
  <c r="H100" i="4"/>
  <c r="G100" i="4"/>
  <c r="K96" i="4"/>
  <c r="J96" i="4"/>
  <c r="H88" i="4"/>
  <c r="G88" i="4"/>
  <c r="K85" i="4"/>
  <c r="J85" i="4"/>
  <c r="K83" i="4"/>
  <c r="J83" i="4"/>
  <c r="H81" i="4"/>
  <c r="G81" i="4"/>
  <c r="H78" i="4"/>
  <c r="G78" i="4"/>
  <c r="H74" i="4"/>
  <c r="G74" i="4"/>
  <c r="H38" i="4"/>
  <c r="G38" i="4"/>
  <c r="H33" i="4"/>
  <c r="G33" i="4"/>
  <c r="K30" i="4"/>
  <c r="J30" i="4"/>
  <c r="H28" i="4"/>
  <c r="G28" i="4"/>
  <c r="K22" i="4"/>
  <c r="J22" i="4"/>
  <c r="H19" i="4"/>
  <c r="G19" i="4"/>
  <c r="H15" i="4"/>
  <c r="G15" i="4"/>
  <c r="AF4" i="1"/>
  <c r="AF54" i="1" s="1"/>
</calcChain>
</file>

<file path=xl/sharedStrings.xml><?xml version="1.0" encoding="utf-8"?>
<sst xmlns="http://schemas.openxmlformats.org/spreadsheetml/2006/main" count="10841" uniqueCount="2005">
  <si>
    <t>A-1</t>
    <phoneticPr fontId="1" type="noConversion"/>
  </si>
  <si>
    <t>A-2</t>
    <phoneticPr fontId="2" type="noConversion"/>
  </si>
  <si>
    <t>A-3</t>
  </si>
  <si>
    <t>A-4</t>
  </si>
  <si>
    <t>A-5</t>
  </si>
  <si>
    <t>B-1</t>
    <phoneticPr fontId="2" type="noConversion"/>
  </si>
  <si>
    <t>B-2</t>
    <phoneticPr fontId="2" type="noConversion"/>
  </si>
  <si>
    <t>B-3</t>
    <phoneticPr fontId="2" type="noConversion"/>
  </si>
  <si>
    <t>B-4</t>
    <phoneticPr fontId="2" type="noConversion"/>
  </si>
  <si>
    <t>B-5</t>
  </si>
  <si>
    <t>C-1</t>
    <phoneticPr fontId="2" type="noConversion"/>
  </si>
  <si>
    <t>C-2</t>
    <phoneticPr fontId="2" type="noConversion"/>
  </si>
  <si>
    <t>C-3</t>
    <phoneticPr fontId="2" type="noConversion"/>
  </si>
  <si>
    <t>C-4</t>
    <phoneticPr fontId="2" type="noConversion"/>
  </si>
  <si>
    <t>C-5</t>
    <phoneticPr fontId="2" type="noConversion"/>
  </si>
  <si>
    <t>D-3</t>
  </si>
  <si>
    <t>D-2</t>
    <phoneticPr fontId="2" type="noConversion"/>
  </si>
  <si>
    <t>D-1</t>
    <phoneticPr fontId="2" type="noConversion"/>
  </si>
  <si>
    <t>D-4</t>
  </si>
  <si>
    <t>D-5</t>
  </si>
  <si>
    <t>E-1</t>
    <phoneticPr fontId="2" type="noConversion"/>
  </si>
  <si>
    <t>E-2</t>
    <phoneticPr fontId="2" type="noConversion"/>
  </si>
  <si>
    <t>E-3</t>
  </si>
  <si>
    <t>E-4</t>
  </si>
  <si>
    <t>E-5</t>
  </si>
  <si>
    <t>Superfamily</t>
  </si>
  <si>
    <t>Family</t>
  </si>
  <si>
    <t>Genus</t>
    <phoneticPr fontId="2" type="noConversion"/>
  </si>
  <si>
    <t>Spr_TL</t>
    <phoneticPr fontId="1" type="noConversion"/>
  </si>
  <si>
    <t>Cas_TL</t>
    <phoneticPr fontId="1" type="noConversion"/>
  </si>
  <si>
    <t>Cus_TL</t>
    <phoneticPr fontId="1" type="noConversion"/>
  </si>
  <si>
    <t>Rap_TL</t>
    <phoneticPr fontId="1" type="noConversion"/>
  </si>
  <si>
    <t>Rim_TL</t>
    <phoneticPr fontId="1" type="noConversion"/>
  </si>
  <si>
    <t>(1) Enarthronotides</t>
    <phoneticPr fontId="2" type="noConversion"/>
  </si>
  <si>
    <t>(1) Hypochthonioidea</t>
    <phoneticPr fontId="2" type="noConversion"/>
  </si>
  <si>
    <t>Enarthronotides</t>
  </si>
  <si>
    <t>Hypochthonioidea</t>
  </si>
  <si>
    <t>(2) Mixonomatides</t>
    <phoneticPr fontId="2" type="noConversion"/>
  </si>
  <si>
    <t>Mixonomatides</t>
  </si>
  <si>
    <t>Phthiracaroidea</t>
  </si>
  <si>
    <t>(3) Nothrina</t>
    <phoneticPr fontId="2" type="noConversion"/>
  </si>
  <si>
    <t>Nothrina</t>
  </si>
  <si>
    <t>Crotonioidea</t>
  </si>
  <si>
    <t>(4) Brachypylina</t>
    <phoneticPr fontId="2" type="noConversion"/>
  </si>
  <si>
    <t>Damaeoidea</t>
  </si>
  <si>
    <t>Brachypylina</t>
  </si>
  <si>
    <t>Gustavioidea</t>
  </si>
  <si>
    <t>Suctobelbella</t>
  </si>
  <si>
    <t>Oppioidea</t>
  </si>
  <si>
    <t>Phenopelopoidea</t>
  </si>
  <si>
    <t>Achipteroidea</t>
  </si>
  <si>
    <t>Oripodoidea</t>
  </si>
  <si>
    <t>40_Haplozetidae</t>
    <phoneticPr fontId="2" type="noConversion"/>
  </si>
  <si>
    <t>Ceratozetoidea</t>
  </si>
  <si>
    <t>Galumnoidea</t>
  </si>
  <si>
    <t>Trait dimension</t>
    <phoneticPr fontId="2" type="noConversion"/>
  </si>
  <si>
    <t xml:space="preserve">Variable name </t>
    <phoneticPr fontId="2" type="noConversion"/>
  </si>
  <si>
    <t>Variable type</t>
    <phoneticPr fontId="2" type="noConversion"/>
  </si>
  <si>
    <t>Coding scheme</t>
    <phoneticPr fontId="2" type="noConversion"/>
  </si>
  <si>
    <t>Value assignment</t>
    <phoneticPr fontId="2" type="noConversion"/>
  </si>
  <si>
    <t>R-ready entry</t>
    <phoneticPr fontId="2" type="noConversion"/>
  </si>
  <si>
    <t>Assignment rationale</t>
    <phoneticPr fontId="2" type="noConversion"/>
  </si>
  <si>
    <t>References</t>
    <phoneticPr fontId="2" type="noConversion"/>
  </si>
  <si>
    <t>General assignment criteria</t>
    <phoneticPr fontId="2" type="noConversion"/>
  </si>
  <si>
    <t>Ecological interpretation</t>
    <phoneticPr fontId="2" type="noConversion"/>
  </si>
  <si>
    <t>(1) Body length</t>
    <phoneticPr fontId="2" type="noConversion"/>
  </si>
  <si>
    <t>body_length</t>
    <phoneticPr fontId="2" type="noConversion"/>
  </si>
  <si>
    <t>Continuous</t>
    <phoneticPr fontId="2" type="noConversion"/>
  </si>
  <si>
    <t>Mean measured value in μm</t>
  </si>
  <si>
    <t>401.20 ± 3.43 μm
(n = 10)</t>
    <phoneticPr fontId="2" type="noConversion"/>
  </si>
  <si>
    <t>Measured range: 397–408 μm; published range: 397–402 μm.</t>
    <phoneticPr fontId="2" type="noConversion"/>
  </si>
  <si>
    <t>Liu, 2021, p. 77</t>
    <phoneticPr fontId="2" type="noConversion"/>
  </si>
  <si>
    <t>Body size influences metabolic demand, developmental tempo, and the ability to exploit microhabitats and interstitial spaces within bryophyte mats.</t>
    <phoneticPr fontId="2" type="noConversion"/>
  </si>
  <si>
    <t>(2) Body width</t>
    <phoneticPr fontId="2" type="noConversion"/>
  </si>
  <si>
    <t>body_width</t>
    <phoneticPr fontId="2" type="noConversion"/>
  </si>
  <si>
    <t>176.20 ± 10.53 μm
(n = 10)</t>
    <phoneticPr fontId="2" type="noConversion"/>
  </si>
  <si>
    <t>Measured range: 160–191 μm; published range: 160–185 μm.</t>
    <phoneticPr fontId="2" type="noConversion"/>
  </si>
  <si>
    <t>(3) Body-wall sclerotization</t>
    <phoneticPr fontId="2" type="noConversion"/>
  </si>
  <si>
    <t>sclerotization</t>
    <phoneticPr fontId="2" type="noConversion"/>
  </si>
  <si>
    <t>Ordinal</t>
    <phoneticPr fontId="2" type="noConversion"/>
  </si>
  <si>
    <t>1 = low; 
2 = medium; 
3 = high</t>
    <phoneticPr fontId="2" type="noConversion"/>
  </si>
  <si>
    <t>medium
(2)</t>
    <phoneticPr fontId="2" type="noConversion"/>
  </si>
  <si>
    <r>
      <rPr>
        <i/>
        <sz val="11"/>
        <color theme="1"/>
        <rFont val="Times New Roman"/>
        <family val="1"/>
      </rPr>
      <t>Archoplophora</t>
    </r>
    <r>
      <rPr>
        <sz val="11"/>
        <color theme="1"/>
        <rFont val="Times New Roman"/>
        <family val="1"/>
      </rPr>
      <t xml:space="preserve"> was coded as having medium body-wall sclerotization.
This assignment was based on its light yellowish-brown body colour, smooth integument, and descriptions indicating a moderately hardened or mineralized body wall (Li and Li, 1989; Liu, 2021; Behan-Pelletier and Lindo, 2022).</t>
    </r>
    <phoneticPr fontId="2" type="noConversion"/>
  </si>
  <si>
    <t>Li and Li, 1989, p. 261;
Liu, 2021, p. 77;
Behan-Pelletier and Lindo, 2022, p. 65</t>
    <phoneticPr fontId="2" type="noConversion"/>
  </si>
  <si>
    <t>Assigned based on the degree of cuticular hardening and external morphology, including body colour, apparent cuticular thickness or hardness, and the development of hardened protective structures. 
Direct microscopic observations were used as the primary evidence, supplemented by species- or genus-level morphological descriptions and taxonomic literature.</t>
    <phoneticPr fontId="2" type="noConversion"/>
  </si>
  <si>
    <t>Body-wall sclerotization is a key defensive trait in mites, especially oribatid mites. Greater cuticular hardening can enhance protection against predators and external disturbance, while also contributing to water retention and tolerance of moisture fluctuations in bryophyte microhabitats.</t>
    <phoneticPr fontId="2" type="noConversion"/>
  </si>
  <si>
    <t>(4) Reproductive mode</t>
    <phoneticPr fontId="2" type="noConversion"/>
  </si>
  <si>
    <t>reproduction</t>
    <phoneticPr fontId="2" type="noConversion"/>
  </si>
  <si>
    <t>Binary</t>
    <phoneticPr fontId="2" type="noConversion"/>
  </si>
  <si>
    <t>0 = sexual;
1 = parthenogenetic</t>
    <phoneticPr fontId="2" type="noConversion"/>
  </si>
  <si>
    <t>parthenogenetic
(1)</t>
    <phoneticPr fontId="2" type="noConversion"/>
  </si>
  <si>
    <r>
      <t xml:space="preserve">Maraun et al. (2019) noted that reproductive mode has been documented for only one species within the genus </t>
    </r>
    <r>
      <rPr>
        <i/>
        <sz val="11"/>
        <color theme="1"/>
        <rFont val="Times New Roman"/>
        <family val="1"/>
      </rPr>
      <t>Archoplophora</t>
    </r>
    <r>
      <rPr>
        <sz val="11"/>
        <color theme="1"/>
        <rFont val="Times New Roman"/>
        <family val="1"/>
      </rPr>
      <t>, and that species is parthenogenetic; this limited evidence supports coding the genus as parthenogenetic.
More broadly, species in Hypochthonioidea are generally considered to reproduce parthenogenetically (Behan-Pelletier and Lindo, 2022).</t>
    </r>
    <phoneticPr fontId="2" type="noConversion"/>
  </si>
  <si>
    <t>Maraun et al., 2019; 
Behan-Pelletier and Lindo, 2022, p. 62</t>
    <phoneticPr fontId="2" type="noConversion"/>
  </si>
  <si>
    <t>Assigned according to explicit records of reproductive mode at the species or genus level in the literature.</t>
    <phoneticPr fontId="2" type="noConversion"/>
  </si>
  <si>
    <t>Reproductive mode reflects alternative strategies of population establishment and persistence. Parthenogenesis can facilitate population establishment under mate-limited conditions in patchy bryophyte habitats, whereas sexual reproduction promotes genetic recombination and may enhance persistence in environmentally heterogeneous or competitively structured environments.</t>
    <phoneticPr fontId="2" type="noConversion"/>
  </si>
  <si>
    <t>(5) Humeral-pteromorph structure type</t>
    <phoneticPr fontId="2" type="noConversion"/>
  </si>
  <si>
    <t>pteromorph</t>
    <phoneticPr fontId="2" type="noConversion"/>
  </si>
  <si>
    <t>Nominal</t>
    <phoneticPr fontId="2" type="noConversion"/>
  </si>
  <si>
    <t>none; 
humeral projection; 
fixed pteromorph; 
movable pteromorph</t>
    <phoneticPr fontId="2" type="noConversion"/>
  </si>
  <si>
    <t>none</t>
    <phoneticPr fontId="2" type="noConversion"/>
  </si>
  <si>
    <r>
      <rPr>
        <i/>
        <sz val="11"/>
        <color theme="1"/>
        <rFont val="Times New Roman"/>
        <family val="1"/>
      </rPr>
      <t>Archoplophora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</si>
  <si>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 77;
Behan-Pelletier and Lindo, 2022, p. 65</t>
    <phoneticPr fontId="2" type="noConversion"/>
  </si>
  <si>
    <t>Assigned based on the presence/absence, structural form, and mobility of humeral projections and pteromorphs, using direct microscopic observations and published morphological descriptions.</t>
    <phoneticPr fontId="2" type="noConversion"/>
  </si>
  <si>
    <t>Pteromorphs and homologous shoulder-region structures are distinctive morphological features in oribatid mites. They can protect the legs and lateral body regions, contribute to defensive body closure, and help buffer the body surface microenvironment in exposed bryophyte habitats.</t>
    <phoneticPr fontId="2" type="noConversion"/>
  </si>
  <si>
    <t>(6) Pretarsal claw number</t>
    <phoneticPr fontId="2" type="noConversion"/>
  </si>
  <si>
    <t>claw_number</t>
  </si>
  <si>
    <t>1 = monodactylous; 
2 = bidactylous; 
3 = tridactylous</t>
    <phoneticPr fontId="2" type="noConversion"/>
  </si>
  <si>
    <t>monodactylous
(1)</t>
    <phoneticPr fontId="2" type="noConversion"/>
  </si>
  <si>
    <r>
      <rPr>
        <i/>
        <sz val="11"/>
        <color theme="1"/>
        <rFont val="Times New Roman"/>
        <family val="1"/>
      </rPr>
      <t>Archoplophora</t>
    </r>
    <r>
      <rPr>
        <sz val="11"/>
        <color theme="1"/>
        <rFont val="Times New Roman"/>
        <family val="1"/>
      </rPr>
      <t xml:space="preserve"> was coded as monodactylous, with the pretarsus bearing a single claw (Li and Li, 1989).</t>
    </r>
    <phoneticPr fontId="2" type="noConversion"/>
  </si>
  <si>
    <t>Li and Li, 1989, p. 258</t>
    <phoneticPr fontId="2" type="noConversion"/>
  </si>
  <si>
    <t>Pretarsal claw number reflects variation in attachment and traction on different substrates, and may influence locomotor stability and the use of bryophyte surfaces and associated particulate microhabitats.</t>
    <phoneticPr fontId="2" type="noConversion"/>
  </si>
  <si>
    <t>(7) Life-history strategy</t>
    <phoneticPr fontId="2" type="noConversion"/>
  </si>
  <si>
    <t>life_history</t>
    <phoneticPr fontId="2" type="noConversion"/>
  </si>
  <si>
    <t>1 = r-selected; 
2 = intermediate; 
3 = K-selected</t>
    <phoneticPr fontId="2" type="noConversion"/>
  </si>
  <si>
    <t>K-selected
(3)</t>
    <phoneticPr fontId="2" type="noConversion"/>
  </si>
  <si>
    <r>
      <rPr>
        <i/>
        <sz val="11"/>
        <color theme="1"/>
        <rFont val="Times New Roman"/>
        <family val="1"/>
      </rPr>
      <t>Archoplophora</t>
    </r>
    <r>
      <rPr>
        <sz val="11"/>
        <color theme="1"/>
        <rFont val="Times New Roman"/>
        <family val="1"/>
      </rPr>
      <t xml:space="preserve"> was provisionally coded as K-selected at the genus level because its reported species </t>
    </r>
    <r>
      <rPr>
        <i/>
        <sz val="11"/>
        <color theme="1"/>
        <rFont val="Times New Roman"/>
        <family val="1"/>
      </rPr>
      <t>A. rostralis</t>
    </r>
    <r>
      <rPr>
        <sz val="11"/>
        <color theme="1"/>
        <rFont val="Times New Roman"/>
        <family val="1"/>
      </rPr>
      <t xml:space="preserve"> has a long generation time (730 days), indicating slow development and low population turnover (Pfingstl and Schatz, 2021).</t>
    </r>
    <phoneticPr fontId="2" type="noConversion"/>
  </si>
  <si>
    <t>Pfingstl and Schatz, 2021</t>
    <phoneticPr fontId="2" type="noConversion"/>
  </si>
  <si>
    <t>Assigned based on published evidence for development rate, generation time, reproductive turnover, and related life-history attributes.</t>
    <phoneticPr fontId="2" type="noConversion"/>
  </si>
  <si>
    <t>Life-history strategy reflects evolutionary trade-offs among development rate, reproductive output, and longevity. r-selected taxa are generally associated with rapid turnover in disturbed or transient microhabitats, whereas K-selected taxa are more often associated with relatively stable, resource-limited environments.</t>
    <phoneticPr fontId="2" type="noConversion"/>
  </si>
  <si>
    <t>(8) Trophic guild</t>
    <phoneticPr fontId="2" type="noConversion"/>
  </si>
  <si>
    <t>trophic_guild</t>
    <phoneticPr fontId="2" type="noConversion"/>
  </si>
  <si>
    <t>herbivore; 
primary decomposer; 
fungal feeder; 
predator</t>
    <phoneticPr fontId="2" type="noConversion"/>
  </si>
  <si>
    <t>fungal feeder</t>
    <phoneticPr fontId="2" type="noConversion"/>
  </si>
  <si>
    <t>fungal_feeder</t>
    <phoneticPr fontId="2" type="noConversion"/>
  </si>
  <si>
    <r>
      <t xml:space="preserve">Maraun et al. (2023) compiled 11 publicly available stable isotope datasets for five species within the superfamily Hypochthonioidea, indicating multiple feeding strategies within the superfamily; however, after recalculating mean isotope values at the superfamily level, we used the recalculated Hypochthonioidea mean as a proxy and provisionally coded the genus </t>
    </r>
    <r>
      <rPr>
        <i/>
        <sz val="11"/>
        <color theme="1"/>
        <rFont val="Times New Roman"/>
        <family val="1"/>
      </rPr>
      <t>Archoplophora</t>
    </r>
    <r>
      <rPr>
        <sz val="11"/>
        <color theme="1"/>
        <rFont val="Times New Roman"/>
        <family val="1"/>
      </rPr>
      <t xml:space="preserve"> as a fungal feeder.</t>
    </r>
    <phoneticPr fontId="2" type="noConversion"/>
  </si>
  <si>
    <t>Maraun et al., 2023</t>
    <phoneticPr fontId="2" type="noConversion"/>
  </si>
  <si>
    <t>Assigned according to published evidence from stable isotopes, feeding records, mouthpart morphology, and higher-taxon ecological inference.</t>
    <phoneticPr fontId="2" type="noConversion"/>
  </si>
  <si>
    <t>Trophic guild links biodiversity to ecosystem functioning by indicating how taxa participate in energy transfer and material cycling. Different feeding guilds occupy distinct channels within bryophyte-associated micro-food webs and contribute differently to carbon and nitrogen cycling.</t>
    <phoneticPr fontId="2" type="noConversion"/>
  </si>
  <si>
    <t>325.64 ± 6.56 μm
(n = 14)</t>
    <phoneticPr fontId="2" type="noConversion"/>
  </si>
  <si>
    <t>Measured range: 313–339 μm; published range: 350–370 μm.</t>
    <phoneticPr fontId="2" type="noConversion"/>
  </si>
  <si>
    <t>Liu, 2021, p. 73</t>
    <phoneticPr fontId="2" type="noConversion"/>
  </si>
  <si>
    <t>157.64 ± 10.52 μm
(n = 14)</t>
    <phoneticPr fontId="2" type="noConversion"/>
  </si>
  <si>
    <t>Measured range: 142–179 μm; published range: 180–185 μm.</t>
    <phoneticPr fontId="2" type="noConversion"/>
  </si>
  <si>
    <r>
      <rPr>
        <i/>
        <sz val="11"/>
        <color theme="1"/>
        <rFont val="Times New Roman"/>
        <family val="1"/>
      </rPr>
      <t>Eohypochthonius</t>
    </r>
    <r>
      <rPr>
        <sz val="11"/>
        <color theme="1"/>
        <rFont val="Times New Roman"/>
        <family val="1"/>
      </rPr>
      <t xml:space="preserve"> was coded as having medium body-wall sclerotization. 
This coding was based on the pale yellow body colour and smooth integument observed in the photographed specimens, and was further informed by the presence of a single transverse median notogastral scissure and by descriptions of hypochthoniid adults as moderately sclerotized or mineralized and ranging in colour from pale yellow to reddish brown (Li and Li, 1989; Liu, 2021; Behan-Pelletier and Lindo, 2022).</t>
    </r>
    <phoneticPr fontId="2" type="noConversion"/>
  </si>
  <si>
    <t>Li and Li, 1989, pp. 266-267;
Liu, 2021, p. 73;
Behan-Pelletier and Lindo, 2022, p. 62</t>
    <phoneticPr fontId="2" type="noConversion"/>
  </si>
  <si>
    <r>
      <t xml:space="preserve">Maraun et al. (2019) noted that reproductive mode has been documented for two species within the genus </t>
    </r>
    <r>
      <rPr>
        <i/>
        <sz val="11"/>
        <color theme="1"/>
        <rFont val="Times New Roman"/>
        <family val="1"/>
      </rPr>
      <t>Eohypochthonius</t>
    </r>
    <r>
      <rPr>
        <sz val="11"/>
        <color theme="1"/>
        <rFont val="Times New Roman"/>
        <family val="1"/>
      </rPr>
      <t>, and both are parthenogenetic; this evidence supports coding the genus as parthenogenetic.</t>
    </r>
    <phoneticPr fontId="2" type="noConversion"/>
  </si>
  <si>
    <r>
      <rPr>
        <i/>
        <sz val="11"/>
        <color theme="1"/>
        <rFont val="Times New Roman"/>
        <family val="1"/>
      </rPr>
      <t>Eohypochthonius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</si>
  <si>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Eohypochthonius</t>
    </r>
    <r>
      <rPr>
        <sz val="11"/>
        <color theme="1"/>
        <rFont val="Times New Roman"/>
        <family val="1"/>
      </rPr>
      <t xml:space="preserve"> is monodactylous, with pretarsi bearing a single claw (Liu, 2021).</t>
    </r>
    <phoneticPr fontId="2" type="noConversion"/>
  </si>
  <si>
    <r>
      <rPr>
        <i/>
        <sz val="11"/>
        <color theme="1"/>
        <rFont val="Times New Roman"/>
        <family val="1"/>
      </rPr>
      <t>Eohypochthonius</t>
    </r>
    <r>
      <rPr>
        <sz val="11"/>
        <color theme="1"/>
        <rFont val="Times New Roman"/>
        <family val="1"/>
      </rPr>
      <t xml:space="preserve"> was provisionally coded as K-selected at the genus level because its reported species </t>
    </r>
    <r>
      <rPr>
        <i/>
        <sz val="11"/>
        <color theme="1"/>
        <rFont val="Times New Roman"/>
        <family val="1"/>
      </rPr>
      <t>E. magnus</t>
    </r>
    <r>
      <rPr>
        <sz val="11"/>
        <color theme="1"/>
        <rFont val="Times New Roman"/>
        <family val="1"/>
      </rPr>
      <t xml:space="preserve"> has a long developmental time (420–450 days) and generation time (730 days), indicating slow development and low population turnover (Pfingstl and Schatz, 2021).</t>
    </r>
    <phoneticPr fontId="2" type="noConversion"/>
  </si>
  <si>
    <t>predator</t>
    <phoneticPr fontId="2" type="noConversion"/>
  </si>
  <si>
    <r>
      <t xml:space="preserve">Maraun et al. (2023) reported one publicly available stable isotope dataset for one species within the genus </t>
    </r>
    <r>
      <rPr>
        <i/>
        <sz val="11"/>
        <color theme="1"/>
        <rFont val="Times New Roman"/>
        <family val="1"/>
      </rPr>
      <t>Eohypochthonius</t>
    </r>
    <r>
      <rPr>
        <sz val="11"/>
        <color theme="1"/>
        <rFont val="Times New Roman"/>
        <family val="1"/>
      </rPr>
      <t xml:space="preserve">; this evidence is consistent with a predatory trophic position, and we provisionally coded </t>
    </r>
    <r>
      <rPr>
        <i/>
        <sz val="11"/>
        <color theme="1"/>
        <rFont val="Times New Roman"/>
        <family val="1"/>
      </rPr>
      <t>Eohypochthonius</t>
    </r>
    <r>
      <rPr>
        <sz val="11"/>
        <color theme="1"/>
        <rFont val="Times New Roman"/>
        <family val="1"/>
      </rPr>
      <t xml:space="preserve"> as a predator.</t>
    </r>
    <phoneticPr fontId="2" type="noConversion"/>
  </si>
  <si>
    <t xml:space="preserve">Maraun et al., 2023
</t>
    <phoneticPr fontId="2" type="noConversion"/>
  </si>
  <si>
    <t>597.64 ± 18.14 μm
(n = 14)</t>
    <phoneticPr fontId="2" type="noConversion"/>
  </si>
  <si>
    <t>Measured range: 572–629 μm; published range: 447–800 μm.</t>
    <phoneticPr fontId="2" type="noConversion"/>
  </si>
  <si>
    <t>Walter et al., 2014, pp. 29-32;
Liu, 2021, p. 74;
Behan-Pelletier and Lindo, 2022, p. 64</t>
    <phoneticPr fontId="2" type="noConversion"/>
  </si>
  <si>
    <t>328.45 ± 12.63 μm
(n = 14)</t>
    <phoneticPr fontId="2" type="noConversion"/>
  </si>
  <si>
    <t>Measured range: 308–347 μm; published range: 325–330 μm.</t>
    <phoneticPr fontId="2" type="noConversion"/>
  </si>
  <si>
    <t>Liu, 2021, p. 74</t>
    <phoneticPr fontId="2" type="noConversion"/>
  </si>
  <si>
    <r>
      <rPr>
        <i/>
        <sz val="11"/>
        <color theme="1"/>
        <rFont val="Times New Roman"/>
        <family val="1"/>
      </rPr>
      <t>Hypochthonius</t>
    </r>
    <r>
      <rPr>
        <sz val="11"/>
        <color theme="1"/>
        <rFont val="Times New Roman"/>
        <family val="1"/>
      </rPr>
      <t xml:space="preserve"> was coded as having medium body-wall sclerotization. 
This coding was based on the micropunctate cuticle with acinose patches, the single transverse notogastral scissure and patch-like dorsal sculpturing visible in the photographed specimens, and the description of hypochthoniid adults as moderately sclerotized or mineralized, with colour ranging from pale yellow to reddish brown and mineralized epicuticular chambers occurring either widely or in localized patches on the body and legs (Li and Li, 1989; Walter et al., 2014; Liu, 2021; Behan-Pelletier and Lindo, 2022).</t>
    </r>
    <phoneticPr fontId="2" type="noConversion"/>
  </si>
  <si>
    <t>Li and Li, 1989, pp. 266-267;
Walter et al., 2014, pp. 30-31;
Liu, 2021, p. 74;
Behan-Pelletier and Lindo, 2022, p. 64</t>
    <phoneticPr fontId="2" type="noConversion"/>
  </si>
  <si>
    <r>
      <t xml:space="preserve">Maraun et al. (2019) noted that reproductive mode has been documented for two species within the genus </t>
    </r>
    <r>
      <rPr>
        <i/>
        <sz val="11"/>
        <color theme="1"/>
        <rFont val="Times New Roman"/>
        <family val="1"/>
      </rPr>
      <t>Hypochthonius</t>
    </r>
    <r>
      <rPr>
        <sz val="11"/>
        <color theme="1"/>
        <rFont val="Times New Roman"/>
        <family val="1"/>
      </rPr>
      <t>, and both are parthenogenetic; this evidence supports coding the genus as parthenogenetic.</t>
    </r>
    <phoneticPr fontId="2" type="noConversion"/>
  </si>
  <si>
    <t>Walter et al., 2014, pp. 31-32;
Maraun et al., 2019</t>
    <phoneticPr fontId="2" type="noConversion"/>
  </si>
  <si>
    <r>
      <rPr>
        <i/>
        <sz val="11"/>
        <color theme="1"/>
        <rFont val="Times New Roman"/>
        <family val="1"/>
      </rPr>
      <t>Hypochthonius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</si>
  <si>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Hypochthonius</t>
    </r>
    <r>
      <rPr>
        <sz val="11"/>
        <color theme="1"/>
        <rFont val="Times New Roman"/>
        <family val="1"/>
      </rPr>
      <t xml:space="preserve"> is monodactylous, with pretarsi bearing a single claw (Liu, 2021; Behan-Pelletier and Lindo, 2022).</t>
    </r>
    <phoneticPr fontId="2" type="noConversion"/>
  </si>
  <si>
    <t>Liu, 2021, p. 74;
Behan-Pelletier and Lindo, 2022, p. 64</t>
    <phoneticPr fontId="2" type="noConversion"/>
  </si>
  <si>
    <r>
      <rPr>
        <i/>
        <sz val="11"/>
        <color theme="1"/>
        <rFont val="Times New Roman"/>
        <family val="1"/>
      </rPr>
      <t>Hypochthonius</t>
    </r>
    <r>
      <rPr>
        <sz val="11"/>
        <color theme="1"/>
        <rFont val="Times New Roman"/>
        <family val="1"/>
      </rPr>
      <t xml:space="preserve"> was provisionally coded as K-selected at the genus level because its reported species </t>
    </r>
    <r>
      <rPr>
        <i/>
        <sz val="11"/>
        <color theme="1"/>
        <rFont val="Times New Roman"/>
        <family val="1"/>
      </rPr>
      <t>H. rufulus</t>
    </r>
    <r>
      <rPr>
        <sz val="11"/>
        <color theme="1"/>
        <rFont val="Times New Roman"/>
        <family val="1"/>
      </rPr>
      <t xml:space="preserve"> has a long generation time (730 days), delayed maturation, and low reproductive output, with gravid females carrying only one large egg or at most a few large eggs, all of which indicate slow development and low population turnover (Walter et al., 2014; Pfingstl and Schatz, 2021; Lu et al., 2025).</t>
    </r>
    <phoneticPr fontId="2" type="noConversion"/>
  </si>
  <si>
    <t>Walter et al., 2014, p. 31;
Pfingstl and Schatz, 2021;
Lu et al., 2025</t>
    <phoneticPr fontId="2" type="noConversion"/>
  </si>
  <si>
    <r>
      <t xml:space="preserve">Maraun et al. (2023) reported seven publicly available stable isotope datasets for two species within the genus </t>
    </r>
    <r>
      <rPr>
        <i/>
        <sz val="11"/>
        <color theme="1"/>
        <rFont val="Times New Roman"/>
        <family val="1"/>
      </rPr>
      <t>Hypochthonius</t>
    </r>
    <r>
      <rPr>
        <sz val="11"/>
        <color theme="1"/>
        <rFont val="Times New Roman"/>
        <family val="1"/>
      </rPr>
      <t xml:space="preserve">; these datasets consistently support a predatory trophic position, and we provisionally coded </t>
    </r>
    <r>
      <rPr>
        <i/>
        <sz val="11"/>
        <color theme="1"/>
        <rFont val="Times New Roman"/>
        <family val="1"/>
      </rPr>
      <t xml:space="preserve">Hypochthonius </t>
    </r>
    <r>
      <rPr>
        <sz val="11"/>
        <color theme="1"/>
        <rFont val="Times New Roman"/>
        <family val="1"/>
      </rPr>
      <t>as a predator. 
In addition, gut contents of adults from mixed deciduous forests in Europe included animal setae and claws, along with fungal hyphae and spores and small amounts of plant material, supporting a predominantly predatory diet (Walter et al., 2014; Behan-Pelletier and Lindo, 2022).</t>
    </r>
    <phoneticPr fontId="2" type="noConversion"/>
  </si>
  <si>
    <t>Walter et al., 2014, pp. 31-32;
Behan-Pelletier and Lindo, 2022, pp. 64-65;
Maraun et al., 2023</t>
    <phoneticPr fontId="2" type="noConversion"/>
  </si>
  <si>
    <t>365.80 ± 32.56 μm
(n = 5)</t>
    <phoneticPr fontId="2" type="noConversion"/>
  </si>
  <si>
    <t>Measured range: 332–412 μm; published range: 309–400 μm.</t>
    <phoneticPr fontId="2" type="noConversion"/>
  </si>
  <si>
    <t>Behan-Pelletier and Lindo, 2022, p. 63</t>
    <phoneticPr fontId="2" type="noConversion"/>
  </si>
  <si>
    <t>195.60 ± 8.24 μm
(n = 5)</t>
    <phoneticPr fontId="2" type="noConversion"/>
  </si>
  <si>
    <t>Measured range: 186–207 μm.</t>
    <phoneticPr fontId="2" type="noConversion"/>
  </si>
  <si>
    <t>low
(1)</t>
    <phoneticPr fontId="2" type="noConversion"/>
  </si>
  <si>
    <r>
      <rPr>
        <i/>
        <sz val="11"/>
        <color theme="1"/>
        <rFont val="Times New Roman"/>
        <family val="1"/>
      </rPr>
      <t>Eniochthonius</t>
    </r>
    <r>
      <rPr>
        <sz val="11"/>
        <color theme="1"/>
        <rFont val="Times New Roman"/>
        <family val="1"/>
      </rPr>
      <t xml:space="preserve"> was coded as having low body-wall sclerotization. 
This coding was based on the yellow body colour and single transverse notogastral scissure visible in the photographed specimen, together with the reference diagnosis of Eniochthoniidae as having an integument with light sclerotization and mineralized epicuticular chambers (Li and Li, 1989; Behan-Pelletier and Lindo, 2022).</t>
    </r>
    <phoneticPr fontId="2" type="noConversion"/>
  </si>
  <si>
    <t>Li and Li, 1989, pp. 266-267;
Behan-Pelletier and Lindo, 2022, pp. 62-63</t>
    <phoneticPr fontId="2" type="noConversion"/>
  </si>
  <si>
    <r>
      <t xml:space="preserve">Maraun et al. (2019) noted that reproductive mode has been documented for only one species within the genus </t>
    </r>
    <r>
      <rPr>
        <i/>
        <sz val="11"/>
        <color theme="1"/>
        <rFont val="Times New Roman"/>
        <family val="1"/>
      </rPr>
      <t>Eniochthonius</t>
    </r>
    <r>
      <rPr>
        <sz val="11"/>
        <color theme="1"/>
        <rFont val="Times New Roman"/>
        <family val="1"/>
      </rPr>
      <t>, and that species is parthenogenetic; this limited evidence supports coding the genus as parthenogenetic.</t>
    </r>
    <phoneticPr fontId="2" type="noConversion"/>
  </si>
  <si>
    <t>Maraun et al., 2019;
Behan-Pelletier and Lindo, 2022, p. 63</t>
    <phoneticPr fontId="2" type="noConversion"/>
  </si>
  <si>
    <r>
      <rPr>
        <i/>
        <sz val="11"/>
        <color theme="1"/>
        <rFont val="Times New Roman"/>
        <family val="1"/>
      </rPr>
      <t>Eniochthonius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</si>
  <si>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Eniochthonius</t>
    </r>
    <r>
      <rPr>
        <sz val="11"/>
        <color theme="1"/>
        <rFont val="Times New Roman"/>
        <family val="1"/>
      </rPr>
      <t xml:space="preserve"> is monodactylous, with pretarsi bearing a single claw (Li and Li, 1989; Behan-Pelletier and Lindo, 2022).</t>
    </r>
    <phoneticPr fontId="2" type="noConversion"/>
  </si>
  <si>
    <t>Li and Li, 1989, p. 258;
Behan-Pelletier and Lindo, 2022, p. 63</t>
    <phoneticPr fontId="2" type="noConversion"/>
  </si>
  <si>
    <t>primary decomposer</t>
    <phoneticPr fontId="2" type="noConversion"/>
  </si>
  <si>
    <t>primary_decomposer</t>
    <phoneticPr fontId="2" type="noConversion"/>
  </si>
  <si>
    <r>
      <t xml:space="preserve">Maraun et al. (2023) reported three publicly available stable isotope datasets for one species within the genus </t>
    </r>
    <r>
      <rPr>
        <i/>
        <sz val="11"/>
        <color theme="1"/>
        <rFont val="Times New Roman"/>
        <family val="1"/>
      </rPr>
      <t>Eniochthonius</t>
    </r>
    <r>
      <rPr>
        <sz val="11"/>
        <color theme="1"/>
        <rFont val="Times New Roman"/>
        <family val="1"/>
      </rPr>
      <t xml:space="preserve">; these datasets consistently support a primary decomposer trophic position, and after recalculating mean isotope values at the genus level, we provisionally coded </t>
    </r>
    <r>
      <rPr>
        <i/>
        <sz val="11"/>
        <color theme="1"/>
        <rFont val="Times New Roman"/>
        <family val="1"/>
      </rPr>
      <t>Eniochthonius</t>
    </r>
    <r>
      <rPr>
        <sz val="11"/>
        <color theme="1"/>
        <rFont val="Times New Roman"/>
        <family val="1"/>
      </rPr>
      <t xml:space="preserve"> as a primary decomposer. </t>
    </r>
    <phoneticPr fontId="2" type="noConversion"/>
  </si>
  <si>
    <t>814.86 ± 67.31 μm
(n = 7)</t>
    <phoneticPr fontId="2" type="noConversion"/>
  </si>
  <si>
    <t>Measured range: 724–907 μm; published range: 810-1016 μm.</t>
    <phoneticPr fontId="2" type="noConversion"/>
  </si>
  <si>
    <t>Ren, 2019</t>
    <phoneticPr fontId="2" type="noConversion"/>
  </si>
  <si>
    <t>472.57 ± 72.35 μm
(n = 7)</t>
    <phoneticPr fontId="2" type="noConversion"/>
  </si>
  <si>
    <t>Measured range: 368–563 μm; published range: 400-578 μm.</t>
    <phoneticPr fontId="2" type="noConversion"/>
  </si>
  <si>
    <t>Ren, 2019</t>
  </si>
  <si>
    <r>
      <rPr>
        <i/>
        <sz val="11"/>
        <color theme="1"/>
        <rFont val="Times New Roman"/>
        <family val="1"/>
      </rPr>
      <t>Lohmannia</t>
    </r>
    <r>
      <rPr>
        <sz val="11"/>
        <color theme="1"/>
        <rFont val="Times New Roman"/>
        <family val="1"/>
      </rPr>
      <t xml:space="preserve"> was provisionally coded as having medium body-wall sclerotization.
This coding was based on the photographed specimens showing a yellow-brown to brown body and a well-hardened dorsal surface, together with the diagnosis of Lohmanniidae in which all transverse articulations are fused (Li and Li, 1989; Ren, 2019; Behan-Pelletier and Lindo, 2022).</t>
    </r>
    <phoneticPr fontId="2" type="noConversion"/>
  </si>
  <si>
    <t>Li and Li, 1989, pp. 270-273;
Ren, 2019</t>
    <phoneticPr fontId="2" type="noConversion"/>
  </si>
  <si>
    <r>
      <t xml:space="preserve">Maraun et al. (2019) noted that reproductive mode has been documented for only one species within the genus </t>
    </r>
    <r>
      <rPr>
        <i/>
        <sz val="11"/>
        <color theme="1"/>
        <rFont val="Times New Roman"/>
        <family val="1"/>
      </rPr>
      <t>Lohmannia</t>
    </r>
    <r>
      <rPr>
        <sz val="11"/>
        <color theme="1"/>
        <rFont val="Times New Roman"/>
        <family val="1"/>
      </rPr>
      <t>, and that species is parthenogenetic; this limited evidence supports coding the genus as parthenogenetic.</t>
    </r>
    <phoneticPr fontId="2" type="noConversion"/>
  </si>
  <si>
    <t>Maraun et al., 2019;
Ren, 2019</t>
    <phoneticPr fontId="2" type="noConversion"/>
  </si>
  <si>
    <r>
      <rPr>
        <i/>
        <sz val="11"/>
        <color theme="1"/>
        <rFont val="Times New Roman"/>
        <family val="1"/>
      </rPr>
      <t>Lohmannia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</si>
  <si>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 and Li, 1989;
Ren, 2019</t>
    <phoneticPr fontId="2" type="noConversion"/>
  </si>
  <si>
    <r>
      <rPr>
        <i/>
        <sz val="11"/>
        <color theme="1"/>
        <rFont val="Times New Roman"/>
        <family val="1"/>
      </rPr>
      <t>Lohmannia</t>
    </r>
    <r>
      <rPr>
        <sz val="11"/>
        <color theme="1"/>
        <rFont val="Times New Roman"/>
        <family val="1"/>
      </rPr>
      <t xml:space="preserve"> is monodactylous, with pretarsi bearing a single claw (Li and Li, 1989; Ren, 2019).</t>
    </r>
    <phoneticPr fontId="2" type="noConversion"/>
  </si>
  <si>
    <t>Li and Li, 1989, p. 258;
Ren, 2019</t>
    <phoneticPr fontId="2" type="noConversion"/>
  </si>
  <si>
    <t>intermediate
(2)</t>
    <phoneticPr fontId="2" type="noConversion"/>
  </si>
  <si>
    <r>
      <rPr>
        <i/>
        <sz val="11"/>
        <color theme="1"/>
        <rFont val="Times New Roman"/>
        <family val="1"/>
      </rPr>
      <t>Lohmannia</t>
    </r>
    <r>
      <rPr>
        <sz val="11"/>
        <color theme="1"/>
        <rFont val="Times New Roman"/>
        <family val="1"/>
      </rPr>
      <t xml:space="preserve"> was provisionally coded as intermediate at the genus level because available data for Lohmanniidae indicate relatively short developmental time (71–101 days) and generation time (95–116 days), but a long adult longevity (730 days), suggesting mixed life-history characteristics and an intermediate rate of population turnover (Pfingstl and Schatz, 2021).</t>
    </r>
    <phoneticPr fontId="2" type="noConversion"/>
  </si>
  <si>
    <t>Maraun et al. (2023) reported three publicly available stable isotope datasets for three species within the family Lohmanniidae, suggesting trophic positions consistent with primary decomposition or fungal feeding; however, after recalculating mean isotope values at the family level, we used the recalculated Lohmanniidae mean as a proxy and provisionally coded the genus Lohmannia as a fungal feeder.</t>
    <phoneticPr fontId="2" type="noConversion"/>
  </si>
  <si>
    <t>422.46 ± 37.12 μm
(n = 13)</t>
    <phoneticPr fontId="2" type="noConversion"/>
  </si>
  <si>
    <t>Measured range: 373–499 μm; published range: 335–675 μm.</t>
    <phoneticPr fontId="2" type="noConversion"/>
  </si>
  <si>
    <t>Liu, 2021, p. 78;
Ren, 2019;
Behan-Pelletier and Lindo, 2022, pp. 80-90</t>
    <phoneticPr fontId="2" type="noConversion"/>
  </si>
  <si>
    <t>213.15 ± 34.04 μm
(n = 13)</t>
    <phoneticPr fontId="2" type="noConversion"/>
  </si>
  <si>
    <t>Measured range: 154–263 μm; published range: 145–331 μm.</t>
    <phoneticPr fontId="2" type="noConversion"/>
  </si>
  <si>
    <t>Liu, 2021, p. 78;
Ren, 2019</t>
    <phoneticPr fontId="2" type="noConversion"/>
  </si>
  <si>
    <r>
      <rPr>
        <i/>
        <sz val="11"/>
        <color theme="1"/>
        <rFont val="Times New Roman"/>
        <family val="1"/>
      </rPr>
      <t>Papillacarus</t>
    </r>
    <r>
      <rPr>
        <sz val="11"/>
        <color theme="1"/>
        <rFont val="Times New Roman"/>
        <family val="1"/>
      </rPr>
      <t xml:space="preserve"> was provisionally coded as having medium body-wall sclerotization. 
This coding was based on the light yellow-brown to light brown body colour and densely papillate integument observed in the photographed specimens and described in the reference materials, together with the Lohmanniidae diagnosis of a strongly arched dorsal surface and all transverse articulations fused (Li and Li, 1989; Ren, 2019; Liu, 2021; Behan-Pelletier and Lindo, 2022).</t>
    </r>
    <phoneticPr fontId="2" type="noConversion"/>
  </si>
  <si>
    <t>Li and Li, 1989, pp. 270-273;
Ren, 2019;
Liu, 2021, p. 78;
Behan-Pelletier and Lindo, 2022, pp. 80-90</t>
    <phoneticPr fontId="2" type="noConversion"/>
  </si>
  <si>
    <r>
      <t xml:space="preserve">Maraun et al. (2019) noted that reproductive mode has been documented for five species within the genus </t>
    </r>
    <r>
      <rPr>
        <i/>
        <sz val="11"/>
        <color theme="1"/>
        <rFont val="Times New Roman"/>
        <family val="1"/>
      </rPr>
      <t>Papillacarus</t>
    </r>
    <r>
      <rPr>
        <sz val="11"/>
        <color theme="1"/>
        <rFont val="Times New Roman"/>
        <family val="1"/>
      </rPr>
      <t>, and these species are parthenogenetic; this evidence supports coding the genus as parthenogenetic.</t>
    </r>
    <phoneticPr fontId="2" type="noConversion"/>
  </si>
  <si>
    <t>Walter et al., 2014, pp. 84, 88-90;
Ren, 2019;
Maraun et al., 2019</t>
    <phoneticPr fontId="2" type="noConversion"/>
  </si>
  <si>
    <r>
      <rPr>
        <i/>
        <sz val="11"/>
        <color theme="1"/>
        <rFont val="Times New Roman"/>
        <family val="1"/>
      </rPr>
      <t>Papillacarus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</si>
  <si>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Behan-Pelletier and Lindo, 2022, pp. 80-90</t>
    <phoneticPr fontId="2" type="noConversion"/>
  </si>
  <si>
    <r>
      <rPr>
        <i/>
        <sz val="11"/>
        <color theme="1"/>
        <rFont val="Times New Roman"/>
        <family val="1"/>
      </rPr>
      <t>Papillacarus</t>
    </r>
    <r>
      <rPr>
        <sz val="11"/>
        <color theme="1"/>
        <rFont val="Times New Roman"/>
        <family val="1"/>
      </rPr>
      <t xml:space="preserve"> is monodactylous, with pretarsi bearing a single claw (Ren, 2019; Liu, 2021).</t>
    </r>
    <phoneticPr fontId="2" type="noConversion"/>
  </si>
  <si>
    <r>
      <rPr>
        <i/>
        <sz val="11"/>
        <color theme="1"/>
        <rFont val="Times New Roman"/>
        <family val="1"/>
      </rPr>
      <t>Papillacarus</t>
    </r>
    <r>
      <rPr>
        <sz val="11"/>
        <color theme="1"/>
        <rFont val="Times New Roman"/>
        <family val="1"/>
      </rPr>
      <t xml:space="preserve"> was provisionally coded as intermediate at the genus level because its reported species </t>
    </r>
    <r>
      <rPr>
        <i/>
        <sz val="11"/>
        <color theme="1"/>
        <rFont val="Times New Roman"/>
        <family val="1"/>
      </rPr>
      <t>P. aciculatus</t>
    </r>
    <r>
      <rPr>
        <sz val="11"/>
        <color theme="1"/>
        <rFont val="Times New Roman"/>
        <family val="1"/>
      </rPr>
      <t xml:space="preserve"> and </t>
    </r>
    <r>
      <rPr>
        <i/>
        <sz val="11"/>
        <color theme="1"/>
        <rFont val="Times New Roman"/>
        <family val="1"/>
      </rPr>
      <t>P. egypticus</t>
    </r>
    <r>
      <rPr>
        <sz val="11"/>
        <color theme="1"/>
        <rFont val="Times New Roman"/>
        <family val="1"/>
      </rPr>
      <t xml:space="preserve"> show relatively short developmental time (71–101 days) and generation time (95–116 days), but a long adult lifespan (730 days), suggesting mixed life-history characteristics and an intermediate rate of population turnover (Pfingstl and Schatz, 2021).</t>
    </r>
    <phoneticPr fontId="2" type="noConversion"/>
  </si>
  <si>
    <r>
      <t xml:space="preserve">Maraun et al. (2023) reported three publicly available stable isotope datasets for three species within the family Lohmanniidae, suggesting trophic positions consistent with primary decomposition or fungal feeding; however, after recalculating mean isotope values at the family level, we used the recalculated Lohmanniidae mean as a proxy and provisionally coded the genus </t>
    </r>
    <r>
      <rPr>
        <i/>
        <sz val="11"/>
        <color theme="1"/>
        <rFont val="Times New Roman"/>
        <family val="1"/>
      </rPr>
      <t>Papillacarus</t>
    </r>
    <r>
      <rPr>
        <sz val="11"/>
        <color theme="1"/>
        <rFont val="Times New Roman"/>
        <family val="1"/>
      </rPr>
      <t xml:space="preserve"> as a fungal feeder.</t>
    </r>
    <phoneticPr fontId="2" type="noConversion"/>
  </si>
  <si>
    <t>515.50 ± 28.22 μm
(n = 6)</t>
    <phoneticPr fontId="2" type="noConversion"/>
  </si>
  <si>
    <t>Measured range: 482–550 μm; published range: 560–850 μm.</t>
    <phoneticPr fontId="2" type="noConversion"/>
  </si>
  <si>
    <t>Liu, 2021, p. 115;
Behan-Pelletier and Lindo, 2022, p. 69</t>
    <phoneticPr fontId="2" type="noConversion"/>
  </si>
  <si>
    <t>219.83 ± 36.11 μm
(n = 6)</t>
    <phoneticPr fontId="2" type="noConversion"/>
  </si>
  <si>
    <t>Measured range: 171–261 μm; published range: 180–182 μm.</t>
    <phoneticPr fontId="2" type="noConversion"/>
  </si>
  <si>
    <t>Liu, 2021, p. 115</t>
    <phoneticPr fontId="2" type="noConversion"/>
  </si>
  <si>
    <r>
      <rPr>
        <i/>
        <sz val="11"/>
        <color theme="1"/>
        <rFont val="Times New Roman"/>
        <family val="1"/>
      </rPr>
      <t>Eulohmannia</t>
    </r>
    <r>
      <rPr>
        <sz val="11"/>
        <color theme="1"/>
        <rFont val="Times New Roman"/>
        <family val="1"/>
      </rPr>
      <t xml:space="preserve"> was coded as having low body-wall sclerotization. 
This coding was based on the milky-white to light yellow body colour and weak sclerotization reported in the reference materials, together with the diagnosis of Eulohmanniidae as dichoid, light yellow, and elongated, with the proterosoma noticeably constricted behind the level of the bothridium and the prodorsum weakly stegasime (Li and Li, 1989; Liu, 2021; Behan-Pelletier and Lindo, 2022).</t>
    </r>
    <phoneticPr fontId="2" type="noConversion"/>
  </si>
  <si>
    <t>Li and Li, 1989, p. 276;
Liu, 2021, p. 115;
Behan-Pelletier and Lindo, 2022, p. 69</t>
    <phoneticPr fontId="2" type="noConversion"/>
  </si>
  <si>
    <r>
      <t xml:space="preserve">Maraun et al. (2019) noted that reproductive mode has been documented for only one species within the genus </t>
    </r>
    <r>
      <rPr>
        <i/>
        <sz val="11"/>
        <color theme="1"/>
        <rFont val="Times New Roman"/>
        <family val="1"/>
      </rPr>
      <t>Eulohmannia</t>
    </r>
    <r>
      <rPr>
        <sz val="11"/>
        <color theme="1"/>
        <rFont val="Times New Roman"/>
        <family val="1"/>
      </rPr>
      <t>, and that species is parthenogenetic; this limited evidence supports coding the genus as parthenogenetic.</t>
    </r>
    <phoneticPr fontId="2" type="noConversion"/>
  </si>
  <si>
    <t>Walter et al., 2014, pp. 84, 88-90;
Maraun et al., 2019</t>
    <phoneticPr fontId="2" type="noConversion"/>
  </si>
  <si>
    <r>
      <rPr>
        <i/>
        <sz val="11"/>
        <color theme="1"/>
        <rFont val="Times New Roman"/>
        <family val="1"/>
      </rPr>
      <t>Eulohmannia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</si>
  <si>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tridactylous
(3)</t>
    <phoneticPr fontId="2" type="noConversion"/>
  </si>
  <si>
    <r>
      <rPr>
        <i/>
        <sz val="11"/>
        <color theme="1"/>
        <rFont val="Times New Roman"/>
        <family val="1"/>
      </rPr>
      <t>Eulohmannia</t>
    </r>
    <r>
      <rPr>
        <sz val="11"/>
        <color theme="1"/>
        <rFont val="Times New Roman"/>
        <family val="1"/>
      </rPr>
      <t xml:space="preserve"> is usually heterotridactylous, with two strong lateral claws and a minute empodium, often appearing bidactylous (Liu, 2021; Behan-Pelletier and Lindo, 2022), and was therefore coded as tridactylous.</t>
    </r>
    <phoneticPr fontId="2" type="noConversion"/>
  </si>
  <si>
    <t>Liu, 2021, p. 115;
Behan-Pelletier and Lindo, 2022, p. 70</t>
    <phoneticPr fontId="2" type="noConversion"/>
  </si>
  <si>
    <t>primary decomposer</t>
  </si>
  <si>
    <r>
      <t xml:space="preserve">Maraun et al. (2023) reported 17 publicly available stable isotope datasets for 32 species within the suborder Mixonomatides, indicating multiple feeding strategies within the suborder; however, after recalculating mean isotope values at the suborder level, we used the recalculated Mixonomatides mean as a proxy and provisionally coded the genus </t>
    </r>
    <r>
      <rPr>
        <i/>
        <sz val="11"/>
        <color theme="1"/>
        <rFont val="Times New Roman"/>
        <family val="1"/>
      </rPr>
      <t>Eulohmannia</t>
    </r>
    <r>
      <rPr>
        <sz val="11"/>
        <color theme="1"/>
        <rFont val="Times New Roman"/>
        <family val="1"/>
      </rPr>
      <t xml:space="preserve"> as a primary decomposer.</t>
    </r>
    <phoneticPr fontId="2" type="noConversion"/>
  </si>
  <si>
    <t>384.67 ± 20.04 μm
(n = 9)</t>
    <phoneticPr fontId="2" type="noConversion"/>
  </si>
  <si>
    <t>Measured range: 351–414 μm; published range: 350–420 μm.</t>
    <phoneticPr fontId="2" type="noConversion"/>
  </si>
  <si>
    <t>Liu, 2021, pp. 113-114;
Behan-Pelletier and Lindo, 2022, p. 71</t>
    <phoneticPr fontId="2" type="noConversion"/>
  </si>
  <si>
    <t>161.44 ± 7.10 μm
(n = 9)</t>
    <phoneticPr fontId="2" type="noConversion"/>
  </si>
  <si>
    <t>Measured range: 153–176 μm; published range: 150–180 μm.</t>
    <phoneticPr fontId="2" type="noConversion"/>
  </si>
  <si>
    <t>Liu, 2021, pp. 113-114</t>
    <phoneticPr fontId="2" type="noConversion"/>
  </si>
  <si>
    <r>
      <rPr>
        <i/>
        <sz val="11"/>
        <color theme="1"/>
        <rFont val="Times New Roman"/>
        <family val="1"/>
      </rPr>
      <t xml:space="preserve">Epilohmannia </t>
    </r>
    <r>
      <rPr>
        <sz val="11"/>
        <color theme="1"/>
        <rFont val="Times New Roman"/>
        <family val="1"/>
      </rPr>
      <t>was coded as having medium body-wall sclerotization. 
This coding was based on the yellowish-brown to reddish-brown body colour observed in the photographed specimens, together with the description of epilohmanniid adults as yellowish to dark reddish brown and moderately sclerotized (Li and Li, 1989; Liu, 2021; Behan-Pelletier and Lindo, 2022).</t>
    </r>
    <phoneticPr fontId="2" type="noConversion"/>
  </si>
  <si>
    <t>Li and Li, 1989, p. 276;
Liu, 2021, pp. 113-114;
Behan-Pelletier and Lindo, 2022, p. 71</t>
    <phoneticPr fontId="2" type="noConversion"/>
  </si>
  <si>
    <r>
      <t xml:space="preserve">Maraun et al. (2019) noted that reproductive mode has been documented for five species within the genus </t>
    </r>
    <r>
      <rPr>
        <i/>
        <sz val="11"/>
        <color theme="1"/>
        <rFont val="Times New Roman"/>
        <family val="1"/>
      </rPr>
      <t>Epilohmannia</t>
    </r>
    <r>
      <rPr>
        <sz val="11"/>
        <color theme="1"/>
        <rFont val="Times New Roman"/>
        <family val="1"/>
      </rPr>
      <t>, and these species are parthenogenetic; this evidence supports coding the genus as parthenogenetic.</t>
    </r>
    <phoneticPr fontId="2" type="noConversion"/>
  </si>
  <si>
    <t>Maraun et al., 2019</t>
    <phoneticPr fontId="2" type="noConversion"/>
  </si>
  <si>
    <r>
      <rPr>
        <i/>
        <sz val="11"/>
        <color theme="1"/>
        <rFont val="Times New Roman"/>
        <family val="1"/>
      </rPr>
      <t>Epilohmannia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</si>
  <si>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Walter et al., 2014, p. 64;
Liu, 2021, pp. 113-114;
Behan-Pelletier and Lindo, 2022, p. 71</t>
    <phoneticPr fontId="2" type="noConversion"/>
  </si>
  <si>
    <r>
      <t xml:space="preserve">Maraun et al. (2023) reported one publicly available stable isotope dataset for one species within the genus </t>
    </r>
    <r>
      <rPr>
        <i/>
        <sz val="11"/>
        <color theme="1"/>
        <rFont val="Times New Roman"/>
        <family val="1"/>
      </rPr>
      <t>Epilohmannia</t>
    </r>
    <r>
      <rPr>
        <sz val="11"/>
        <color theme="1"/>
        <rFont val="Times New Roman"/>
        <family val="1"/>
      </rPr>
      <t xml:space="preserve">; this evidence supports a primary decomposer trophic position, and we provisionally coded </t>
    </r>
    <r>
      <rPr>
        <i/>
        <sz val="11"/>
        <color theme="1"/>
        <rFont val="Times New Roman"/>
        <family val="1"/>
      </rPr>
      <t>Epilohmannia</t>
    </r>
    <r>
      <rPr>
        <sz val="11"/>
        <color theme="1"/>
        <rFont val="Times New Roman"/>
        <family val="1"/>
      </rPr>
      <t xml:space="preserve"> as a primary decomposer.</t>
    </r>
    <phoneticPr fontId="2" type="noConversion"/>
  </si>
  <si>
    <t>670.62 ± 82.43 μm
(n = 13)</t>
    <phoneticPr fontId="2" type="noConversion"/>
  </si>
  <si>
    <t>Measured range: 527–783 μm.</t>
    <phoneticPr fontId="2" type="noConversion"/>
  </si>
  <si>
    <t>318.69 ± 42.51 μm
(n = 13)</t>
    <phoneticPr fontId="2" type="noConversion"/>
  </si>
  <si>
    <t>Measured range: 254–404 μm.</t>
    <phoneticPr fontId="2" type="noConversion"/>
  </si>
  <si>
    <r>
      <rPr>
        <i/>
        <sz val="11"/>
        <color theme="1"/>
        <rFont val="Times New Roman"/>
        <family val="1"/>
      </rPr>
      <t>Microtritia</t>
    </r>
    <r>
      <rPr>
        <sz val="11"/>
        <color theme="1"/>
        <rFont val="Times New Roman"/>
        <family val="1"/>
      </rPr>
      <t xml:space="preserve"> was coded as having medium body-wall sclerotization. 
This coding was based on the pale yellow-brown to brown body colour observed in the photographed specimens and the reference description of Microtritia as pale to dark brown, together with the diagnosis of phthiracarid mites as having a cuticle hardened by mineralization to a greater or lesser degree, with some species becoming mineralized to the point of brittle cuticle (Li and Li, 1989; Behan-Pelletier and Lindo, 2022).</t>
    </r>
    <phoneticPr fontId="2" type="noConversion"/>
  </si>
  <si>
    <t xml:space="preserve">
Li and Li, 1989, p. 263;
Behan-Pelletier and Lindo, 2022, pp. 72, 76</t>
    <phoneticPr fontId="2" type="noConversion"/>
  </si>
  <si>
    <r>
      <t xml:space="preserve">Maraun et al. (2019) noted that reproductive mode has been documented for only one species within the genus </t>
    </r>
    <r>
      <rPr>
        <i/>
        <sz val="11"/>
        <color theme="1"/>
        <rFont val="Times New Roman"/>
        <family val="1"/>
      </rPr>
      <t>Microtritia</t>
    </r>
    <r>
      <rPr>
        <sz val="11"/>
        <color theme="1"/>
        <rFont val="Times New Roman"/>
        <family val="1"/>
      </rPr>
      <t xml:space="preserve">, and that species is parthenogenetic; this limited evidence supports coding the genus as parthenogenetic.
</t>
    </r>
    <phoneticPr fontId="2" type="noConversion"/>
  </si>
  <si>
    <r>
      <rPr>
        <i/>
        <sz val="11"/>
        <color theme="1"/>
        <rFont val="Times New Roman"/>
        <family val="1"/>
      </rPr>
      <t>Microtritia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</si>
  <si>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Behan-Pelletier and Lindo, 2022, p. 72</t>
    <phoneticPr fontId="2" type="noConversion"/>
  </si>
  <si>
    <r>
      <rPr>
        <i/>
        <sz val="11"/>
        <color theme="1"/>
        <rFont val="Times New Roman"/>
        <family val="1"/>
      </rPr>
      <t>Microtritia</t>
    </r>
    <r>
      <rPr>
        <sz val="11"/>
        <color theme="1"/>
        <rFont val="Times New Roman"/>
        <family val="1"/>
      </rPr>
      <t xml:space="preserve"> is monodactylous, with pretarsi bearing a single claw (Li and Li, 1989; Behan-Pelletier and Lindo, 2022).</t>
    </r>
    <phoneticPr fontId="2" type="noConversion"/>
  </si>
  <si>
    <t>Li and Li, 1989, p. 258;
Behan-Pelletier and Lindo, 2022, p. 72</t>
    <phoneticPr fontId="2" type="noConversion"/>
  </si>
  <si>
    <r>
      <rPr>
        <i/>
        <sz val="11"/>
        <color theme="1"/>
        <rFont val="Times New Roman"/>
        <family val="1"/>
      </rPr>
      <t>Microtritia</t>
    </r>
    <r>
      <rPr>
        <sz val="11"/>
        <color theme="1"/>
        <rFont val="Times New Roman"/>
        <family val="1"/>
      </rPr>
      <t xml:space="preserve"> was provisionally coded as intermediate at the genus level because available data for Euphthiracaridae indicate a relatively short developmental time (61–72 days), suggesting relatively rapid juvenile development, but the absence of corresponding generation-time and lifespan data limits a more definitive assignment to a fast life-history strategy (Pfingstl and Schatz, 2021).</t>
    </r>
    <phoneticPr fontId="2" type="noConversion"/>
  </si>
  <si>
    <t>fungal feeder</t>
  </si>
  <si>
    <r>
      <t xml:space="preserve">Maraun et al. (2023) reported one publicly available stable isotope dataset for one species within the genus </t>
    </r>
    <r>
      <rPr>
        <i/>
        <sz val="11"/>
        <color theme="1"/>
        <rFont val="Times New Roman"/>
        <family val="1"/>
      </rPr>
      <t>Microtritia</t>
    </r>
    <r>
      <rPr>
        <sz val="11"/>
        <color theme="1"/>
        <rFont val="Times New Roman"/>
        <family val="1"/>
      </rPr>
      <t xml:space="preserve">; this evidence supports a fungal-feeding trophic position, and we provisionally coded </t>
    </r>
    <r>
      <rPr>
        <i/>
        <sz val="11"/>
        <color theme="1"/>
        <rFont val="Times New Roman"/>
        <family val="1"/>
      </rPr>
      <t>Microtritia</t>
    </r>
    <r>
      <rPr>
        <sz val="11"/>
        <color theme="1"/>
        <rFont val="Times New Roman"/>
        <family val="1"/>
      </rPr>
      <t xml:space="preserve"> as a fungal feeder.</t>
    </r>
    <phoneticPr fontId="2" type="noConversion"/>
  </si>
  <si>
    <t>699.25 ± 67.91 μm
(n = 16)</t>
    <phoneticPr fontId="2" type="noConversion"/>
  </si>
  <si>
    <t>Measured range: 614–817 μm; published range: 700–830 μm.</t>
    <phoneticPr fontId="2" type="noConversion"/>
  </si>
  <si>
    <t xml:space="preserve">
Walter et al., 2014, pp. 50-51;
Behan-Pelletier and Lindo, 2022, pp. 80-90</t>
    <phoneticPr fontId="2" type="noConversion"/>
  </si>
  <si>
    <t>343.16 ± 46.68 μm
(n = 16)</t>
    <phoneticPr fontId="2" type="noConversion"/>
  </si>
  <si>
    <t>Measured range: 290–428 μm.</t>
    <phoneticPr fontId="2" type="noConversion"/>
  </si>
  <si>
    <r>
      <rPr>
        <i/>
        <sz val="11"/>
        <color theme="1"/>
        <rFont val="Times New Roman"/>
        <family val="1"/>
      </rPr>
      <t>Acrotritia</t>
    </r>
    <r>
      <rPr>
        <sz val="11"/>
        <color theme="1"/>
        <rFont val="Times New Roman"/>
        <family val="1"/>
      </rPr>
      <t xml:space="preserve"> was coded as having medium body-wall sclerotization. 
This coding was based on the brown to dark-brown body colour, punctate body surface, and granular to densely microtuberculate notogaster observed in the photographed specimens and described in the reference materials, together with the diagnosis of phthiracarid mites as having a cuticle hardened by mineralization to a greater or lesser degree (Li and Li, 1989; Walter et al., 2014; Behan-Pelletier and Lindo, 2022).</t>
    </r>
    <phoneticPr fontId="2" type="noConversion"/>
  </si>
  <si>
    <t>Li and Li, 1989, p. 263;
Walter et al., 2014, pp. 49-51;
Behan-Pelletier and Lindo, 2022, p. 73</t>
    <phoneticPr fontId="2" type="noConversion"/>
  </si>
  <si>
    <r>
      <t xml:space="preserve">Maraun et al. (2019) noted that reproductive mode has been documented for four species within the genus </t>
    </r>
    <r>
      <rPr>
        <i/>
        <sz val="11"/>
        <color theme="1"/>
        <rFont val="Times New Roman"/>
        <family val="1"/>
      </rPr>
      <t>Acrotritia</t>
    </r>
    <r>
      <rPr>
        <sz val="11"/>
        <color theme="1"/>
        <rFont val="Times New Roman"/>
        <family val="1"/>
      </rPr>
      <t>, spanning both sexual and parthenogenetic reproduction; this evidence suggests mixed reproductive modes at the genus level. However, published sources suggest that parthenogenesis is prevalent in the genus (Walter et al., 2014; Behan-Pelletier and Lindo, 2022), and we therefore provisionally coded Acrotritia as parthenogenetic.</t>
    </r>
    <phoneticPr fontId="2" type="noConversion"/>
  </si>
  <si>
    <t>Walter et al., 2014, pp. 50-51;
Maraun et al., 2019;
Behan-Pelletier and Lindo, 2022, p. 73</t>
    <phoneticPr fontId="2" type="noConversion"/>
  </si>
  <si>
    <r>
      <rPr>
        <i/>
        <sz val="11"/>
        <color theme="1"/>
        <rFont val="Times New Roman"/>
        <family val="1"/>
      </rPr>
      <t>Acrotritia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</si>
  <si>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Walter et al., 2014, pp. 49-51;
Behan-Pelletier and Lindo, 2022, p. 73</t>
    <phoneticPr fontId="2" type="noConversion"/>
  </si>
  <si>
    <r>
      <rPr>
        <i/>
        <sz val="11"/>
        <color theme="1"/>
        <rFont val="Times New Roman"/>
        <family val="1"/>
      </rPr>
      <t>Acrotritia</t>
    </r>
    <r>
      <rPr>
        <sz val="11"/>
        <color theme="1"/>
        <rFont val="Times New Roman"/>
        <family val="1"/>
      </rPr>
      <t xml:space="preserve"> is usually tridactylous (Walter et al., 2014).</t>
    </r>
    <phoneticPr fontId="2" type="noConversion"/>
  </si>
  <si>
    <t xml:space="preserve">Walter et al., 2014, pp. 49-50
</t>
    <phoneticPr fontId="2" type="noConversion"/>
  </si>
  <si>
    <r>
      <rPr>
        <i/>
        <sz val="11"/>
        <color theme="1"/>
        <rFont val="Times New Roman"/>
        <family val="1"/>
      </rPr>
      <t>Acrotritia</t>
    </r>
    <r>
      <rPr>
        <sz val="11"/>
        <color theme="1"/>
        <rFont val="Times New Roman"/>
        <family val="1"/>
      </rPr>
      <t xml:space="preserve"> was provisionally coded as intermediate at the genus level because its reported species </t>
    </r>
    <r>
      <rPr>
        <i/>
        <sz val="11"/>
        <color theme="1"/>
        <rFont val="Times New Roman"/>
        <family val="1"/>
      </rPr>
      <t>A. clavata</t>
    </r>
    <r>
      <rPr>
        <sz val="11"/>
        <color theme="1"/>
        <rFont val="Times New Roman"/>
        <family val="1"/>
      </rPr>
      <t xml:space="preserve"> has a relatively short developmental time (61–72 days), but gravid females are reported to carry up to three eggs, suggesting limited reproductive output and mixed life-history characteristics rather than a clearly fast strategy (Walter et al., 2014; Pfingstl and Schatz, 2021; Behan-Pelletier and Lindo, 2022).</t>
    </r>
    <phoneticPr fontId="2" type="noConversion"/>
  </si>
  <si>
    <t>Walter et al., 2014, p. 51;
Pfingstl and Schatz, 2021;
Behan-Pelletier and Lindo, 2022, p. 73</t>
    <phoneticPr fontId="2" type="noConversion"/>
  </si>
  <si>
    <r>
      <t xml:space="preserve">Maraun et al. (2023) reported five publicly available stable isotope datasets for two species within the genus </t>
    </r>
    <r>
      <rPr>
        <i/>
        <sz val="11"/>
        <color theme="1"/>
        <rFont val="Times New Roman"/>
        <family val="1"/>
      </rPr>
      <t>Acrotritia</t>
    </r>
    <r>
      <rPr>
        <sz val="11"/>
        <color theme="1"/>
        <rFont val="Times New Roman"/>
        <family val="1"/>
      </rPr>
      <t xml:space="preserve">, consistently indicating a fungal-feeding trophic guild; we therefore provisionally coded </t>
    </r>
    <r>
      <rPr>
        <i/>
        <sz val="11"/>
        <color theme="1"/>
        <rFont val="Times New Roman"/>
        <family val="1"/>
      </rPr>
      <t>Acrotritia</t>
    </r>
    <r>
      <rPr>
        <sz val="11"/>
        <color theme="1"/>
        <rFont val="Times New Roman"/>
        <family val="1"/>
      </rPr>
      <t xml:space="preserve"> as a fungal feeder.
In addition, Walter et al. (2014) noted that gut boli usually contain coarse organic material and both dark and clear hyphae, supporting fungal feeding.</t>
    </r>
    <phoneticPr fontId="2" type="noConversion"/>
  </si>
  <si>
    <t>Walter et al., 2014, p. 51;
Maraun et al., 2023</t>
    <phoneticPr fontId="2" type="noConversion"/>
  </si>
  <si>
    <t>739.29 ± 132.68 μm
(n = 7)</t>
    <phoneticPr fontId="2" type="noConversion"/>
  </si>
  <si>
    <t>Measured range: 558–944 μm; published range: 580–1025 μm.</t>
    <phoneticPr fontId="2" type="noConversion"/>
  </si>
  <si>
    <t>Walter et al., 2014, pp. 61-62;
Liu, 2021, pp. 97-100;
Behan-Pelletier and Lindo, 2022, p. 81</t>
    <phoneticPr fontId="2" type="noConversion"/>
  </si>
  <si>
    <t>384.86 ± 81.39 μm
(n = 7)</t>
    <phoneticPr fontId="2" type="noConversion"/>
  </si>
  <si>
    <t>Measured range: 285–525 μm; published range: 290–585 μm.</t>
    <phoneticPr fontId="2" type="noConversion"/>
  </si>
  <si>
    <t>Liu, 2021, pp. 97-100</t>
    <phoneticPr fontId="2" type="noConversion"/>
  </si>
  <si>
    <r>
      <rPr>
        <i/>
        <sz val="11"/>
        <color theme="1"/>
        <rFont val="Times New Roman"/>
        <family val="1"/>
      </rPr>
      <t>Phthiracarus</t>
    </r>
    <r>
      <rPr>
        <sz val="11"/>
        <color theme="1"/>
        <rFont val="Times New Roman"/>
        <family val="1"/>
      </rPr>
      <t xml:space="preserve"> was coded as having medium body-wall sclerotization. 
This coding was based on the yellowish-brown to brown body colour observed in the photographed specimen, together with the reference descriptions of the genus as grey-brown to yellowish, evenly micropunctate-granular, brown with dense, small tubercles, and with a medium lateral carina, as well as the description of phthiracarid cuticle as being hardened by mineralization to a greater or lesser degree (Li and Li, 1989; Walter et al., 2014; Liu, 2021; Behan-Pelletier and Lindo, 2022).</t>
    </r>
    <phoneticPr fontId="2" type="noConversion"/>
  </si>
  <si>
    <t>Li and Li, 1989, p. 261;
Walter et al., 2014, p. 61;
Liu, 2021, pp. 97-100;
Behan-Pelletier and Lindo, 2022, p. 81</t>
    <phoneticPr fontId="2" type="noConversion"/>
  </si>
  <si>
    <r>
      <t xml:space="preserve">Maraun et al. (2019) noted that reproductive mode has been documented for 20 species within the genus </t>
    </r>
    <r>
      <rPr>
        <i/>
        <sz val="11"/>
        <color theme="1"/>
        <rFont val="Times New Roman"/>
        <family val="1"/>
      </rPr>
      <t>Phthiracarus</t>
    </r>
    <r>
      <rPr>
        <sz val="11"/>
        <color theme="1"/>
        <rFont val="Times New Roman"/>
        <family val="1"/>
      </rPr>
      <t>, and these species are parthenogenetic; this evidence supports coding the genus as parthenogenetic.</t>
    </r>
    <phoneticPr fontId="2" type="noConversion"/>
  </si>
  <si>
    <r>
      <rPr>
        <i/>
        <sz val="11"/>
        <color theme="1"/>
        <rFont val="Times New Roman"/>
        <family val="1"/>
      </rPr>
      <t>Phthiracarus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</si>
  <si>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pp. 97-100;
Behan-Pelletier and Lindo, 2022, p. 81</t>
    <phoneticPr fontId="2" type="noConversion"/>
  </si>
  <si>
    <r>
      <rPr>
        <i/>
        <sz val="11"/>
        <color theme="1"/>
        <rFont val="Times New Roman"/>
        <family val="1"/>
      </rPr>
      <t>Phthiracarus</t>
    </r>
    <r>
      <rPr>
        <sz val="11"/>
        <color theme="1"/>
        <rFont val="Times New Roman"/>
        <family val="1"/>
      </rPr>
      <t xml:space="preserve"> is monodactylous, with pretarsi bearing a single claw (Liu, 2021; Behan-Pelletier and Lindo, 2022).</t>
    </r>
    <phoneticPr fontId="2" type="noConversion"/>
  </si>
  <si>
    <t>Liu, 2021, pp. 98-100;
Behan-Pelletier and Lindo, 2022, p. 81</t>
    <phoneticPr fontId="2" type="noConversion"/>
  </si>
  <si>
    <r>
      <rPr>
        <i/>
        <sz val="11"/>
        <color theme="1"/>
        <rFont val="Times New Roman"/>
        <family val="1"/>
      </rPr>
      <t>Phthiracarus</t>
    </r>
    <r>
      <rPr>
        <sz val="11"/>
        <color theme="1"/>
        <rFont val="Times New Roman"/>
        <family val="1"/>
      </rPr>
      <t xml:space="preserve"> was provisionally coded as K-selected at the genus level because available data for Phthiracaridae indicate long developmental time (400–730 days), generation time (500 days), and lifespan, while gravid females carry only several eggs and retain them until embryogenesis is completed, depositing prelarvae rather than eggs; together, these traits suggest slow development, high reproductive investment per offspring, and low population turnover (Pfingstl and Schatz, 2021; Behan-Pelletier and Lindo, 2022).</t>
    </r>
    <phoneticPr fontId="2" type="noConversion"/>
  </si>
  <si>
    <t>Walter et al., 2014, pp. 62-63;
Pfingstl and Schatz, 2021;
Behan-Pelletier and Lindo, 2022, p. 81</t>
    <phoneticPr fontId="2" type="noConversion"/>
  </si>
  <si>
    <r>
      <t xml:space="preserve">Maraun et al. (2023) reported nine publicly available stable isotope datasets for six species within the genus </t>
    </r>
    <r>
      <rPr>
        <i/>
        <sz val="11"/>
        <color theme="1"/>
        <rFont val="Times New Roman"/>
        <family val="1"/>
      </rPr>
      <t>Phthiracarus</t>
    </r>
    <r>
      <rPr>
        <sz val="11"/>
        <color theme="1"/>
        <rFont val="Times New Roman"/>
        <family val="1"/>
      </rPr>
      <t xml:space="preserve">, suggesting trophic variation within the genus; however, after recalculating mean isotope values at the genus level, we provisionally coded </t>
    </r>
    <r>
      <rPr>
        <i/>
        <sz val="11"/>
        <color theme="1"/>
        <rFont val="Times New Roman"/>
        <family val="1"/>
      </rPr>
      <t xml:space="preserve">Phthiracarus </t>
    </r>
    <r>
      <rPr>
        <sz val="11"/>
        <color theme="1"/>
        <rFont val="Times New Roman"/>
        <family val="1"/>
      </rPr>
      <t>as a fungal feeder. 
In addition, gut boli contain coarse organic matter and both light and dark hyphae, supporting fungal feeding (Walter et al., 2014).</t>
    </r>
    <phoneticPr fontId="2" type="noConversion"/>
  </si>
  <si>
    <t>Walter et al., 2014, p. 61;
Maraun et al., 2023</t>
    <phoneticPr fontId="2" type="noConversion"/>
  </si>
  <si>
    <t>622.40 ± 14.23 μm
(n = 5)</t>
    <phoneticPr fontId="2" type="noConversion"/>
  </si>
  <si>
    <t>Measured range: 606–639 μm; published range: 610–630 μm.</t>
    <phoneticPr fontId="2" type="noConversion"/>
  </si>
  <si>
    <t>Liu, 2021, pp. 93-94;
Behan-Pelletier and Lindo, 2022, pp. 80-90</t>
    <phoneticPr fontId="2" type="noConversion"/>
  </si>
  <si>
    <t>299.40 ± 5.46 μm
(n = 5)</t>
    <phoneticPr fontId="2" type="noConversion"/>
  </si>
  <si>
    <t>Measured range: 292–306 μm; published range: 295–300 μm.</t>
    <phoneticPr fontId="2" type="noConversion"/>
  </si>
  <si>
    <t>Liu, 2021, pp. 93-94</t>
    <phoneticPr fontId="2" type="noConversion"/>
  </si>
  <si>
    <r>
      <rPr>
        <i/>
        <sz val="11"/>
        <color theme="1"/>
        <rFont val="Times New Roman"/>
        <family val="1"/>
      </rPr>
      <t>Atropacarus</t>
    </r>
    <r>
      <rPr>
        <sz val="11"/>
        <color theme="1"/>
        <rFont val="Times New Roman"/>
        <family val="1"/>
      </rPr>
      <t xml:space="preserve"> was coded as having medium body-wall sclerotization. 
This coding was based on the yellowish to pinkish or yellowish-brown body colour and the strongly foveolate integument observed in the reference materials, together with the description of phthiracarid cuticle as being hardened by mineralization to a greater or lesser degree (Li and Li, 1989; Liu, 2021; Behan-Pelletier and Lindo, 2022).</t>
    </r>
    <phoneticPr fontId="2" type="noConversion"/>
  </si>
  <si>
    <t>Li and Li, 1989, p. 261;
Liu, 2021, pp. 93-94;
Behan-Pelletier and Lindo, 2022, pp. 80-90</t>
    <phoneticPr fontId="2" type="noConversion"/>
  </si>
  <si>
    <r>
      <t xml:space="preserve">Maraun et al. (2019) noted that reproductive mode has been documented for only one species within the genus </t>
    </r>
    <r>
      <rPr>
        <i/>
        <sz val="11"/>
        <color theme="1"/>
        <rFont val="Times New Roman"/>
        <family val="1"/>
      </rPr>
      <t>Atropacarus</t>
    </r>
    <r>
      <rPr>
        <sz val="11"/>
        <color theme="1"/>
        <rFont val="Times New Roman"/>
        <family val="1"/>
      </rPr>
      <t>, and that species is parthenogenetic; this limited evidence supports coding the genus as parthenogenetic.</t>
    </r>
    <phoneticPr fontId="2" type="noConversion"/>
  </si>
  <si>
    <t xml:space="preserve">Maraun et al., 2019
</t>
    <phoneticPr fontId="2" type="noConversion"/>
  </si>
  <si>
    <r>
      <rPr>
        <i/>
        <sz val="11"/>
        <color theme="1"/>
        <rFont val="Times New Roman"/>
        <family val="1"/>
      </rPr>
      <t>Atropacarus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</si>
  <si>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pp. 93-94;
Behan-Pelletier and Lindo, 2022, p. 81</t>
    <phoneticPr fontId="2" type="noConversion"/>
  </si>
  <si>
    <r>
      <rPr>
        <i/>
        <sz val="11"/>
        <color theme="1"/>
        <rFont val="Times New Roman"/>
        <family val="1"/>
      </rPr>
      <t>Atropacarus</t>
    </r>
    <r>
      <rPr>
        <sz val="11"/>
        <color theme="1"/>
        <rFont val="Times New Roman"/>
        <family val="1"/>
      </rPr>
      <t xml:space="preserve"> is monodactylous, with pretarsi bearing a single claw (Liu, 2021; Behan-Pelletier and Lindo, 2022).</t>
    </r>
    <phoneticPr fontId="2" type="noConversion"/>
  </si>
  <si>
    <t>Liu, 2021, p. 94;
Behan-Pelletier and Lindo, 2022, p. 81</t>
    <phoneticPr fontId="2" type="noConversion"/>
  </si>
  <si>
    <r>
      <rPr>
        <i/>
        <sz val="11"/>
        <color theme="1"/>
        <rFont val="Times New Roman"/>
        <family val="1"/>
      </rPr>
      <t>Atropacarus</t>
    </r>
    <r>
      <rPr>
        <sz val="11"/>
        <color theme="1"/>
        <rFont val="Times New Roman"/>
        <family val="1"/>
      </rPr>
      <t xml:space="preserve"> was provisionally coded as K-selected at the genus level because available evidence indicates prolonged development and lifespan, with maturation taking more than one year and lifespan exceeding three years, while published data for Phthiracaridae show long developmental time (400–730 days), generation time (500 days), and total lifespan (730–1095 days); moreover, gravid females carry only a few eggs and retain them until embryogenesis is completed, together indicating slow development, high reproductive investment per offspring, and low population turnover (Walter et al., 2014; Pfingstl and Schatz, 2021; Behan-Pelletier and Lindo, 2022).</t>
    </r>
    <phoneticPr fontId="2" type="noConversion"/>
  </si>
  <si>
    <t>Walter et al., 2014, p. 59;
Pfingstl and Schatz, 2021;
Behan-Pelletier and Lindo, 2022, p. 81</t>
    <phoneticPr fontId="2" type="noConversion"/>
  </si>
  <si>
    <r>
      <t xml:space="preserve">Maraun et al. (2023) reported one publicly available stable isotope dataset for one species within the genus </t>
    </r>
    <r>
      <rPr>
        <i/>
        <sz val="11"/>
        <color theme="1"/>
        <rFont val="Times New Roman"/>
        <family val="1"/>
      </rPr>
      <t>Atropacarus</t>
    </r>
    <r>
      <rPr>
        <sz val="11"/>
        <color theme="1"/>
        <rFont val="Times New Roman"/>
        <family val="1"/>
      </rPr>
      <t xml:space="preserve">; this evidence indicates a fungal-feeding trophic guild, and we provisionally coded </t>
    </r>
    <r>
      <rPr>
        <i/>
        <sz val="11"/>
        <color theme="1"/>
        <rFont val="Times New Roman"/>
        <family val="1"/>
      </rPr>
      <t>Atropacarus</t>
    </r>
    <r>
      <rPr>
        <sz val="11"/>
        <color theme="1"/>
        <rFont val="Times New Roman"/>
        <family val="1"/>
      </rPr>
      <t xml:space="preserve"> as a fungal feeder.
In addition, gut boli contain coarse organic material and both light and dark hyphae, and adults of this species were observed feeding primarily on decaying leaves, needles, and wood, but also on the fungus </t>
    </r>
    <r>
      <rPr>
        <i/>
        <sz val="11"/>
        <color theme="1"/>
        <rFont val="Times New Roman"/>
        <family val="1"/>
      </rPr>
      <t>Cladosporium</t>
    </r>
    <r>
      <rPr>
        <sz val="11"/>
        <color theme="1"/>
        <rFont val="Times New Roman"/>
        <family val="1"/>
      </rPr>
      <t>, supporting fungal feeding (Walter et al., 2014; Behan-Pelletier and Lindo, 2022).</t>
    </r>
    <phoneticPr fontId="2" type="noConversion"/>
  </si>
  <si>
    <t>Walter et al., 2014, p. 59;
Behan-Pelletier and Lindo, 2022, p. 82;
Maraun et al., 2023</t>
    <phoneticPr fontId="2" type="noConversion"/>
  </si>
  <si>
    <t>659.00 ± 119.47 μm
(n = 10)</t>
    <phoneticPr fontId="2" type="noConversion"/>
  </si>
  <si>
    <t>Measured range: 537–869 μm; published range: 750–1220 μm.</t>
    <phoneticPr fontId="2" type="noConversion"/>
  </si>
  <si>
    <t>Liu, 2021, pp. 123-127;
Behan-Pelletier and Lindo, 2022, p. 90</t>
    <phoneticPr fontId="2" type="noConversion"/>
  </si>
  <si>
    <t>298.80 ± 84.16 μm
(n = 10)</t>
    <phoneticPr fontId="2" type="noConversion"/>
  </si>
  <si>
    <t>Measured range: 207–477 μm; published range: 355–575 μm.</t>
    <phoneticPr fontId="2" type="noConversion"/>
  </si>
  <si>
    <t>Liu, 2021, pp. 123-127</t>
    <phoneticPr fontId="2" type="noConversion"/>
  </si>
  <si>
    <t>high
(3)</t>
    <phoneticPr fontId="2" type="noConversion"/>
  </si>
  <si>
    <r>
      <rPr>
        <i/>
        <sz val="11"/>
        <color theme="1"/>
        <rFont val="Times New Roman"/>
        <family val="1"/>
      </rPr>
      <t xml:space="preserve">Camisia </t>
    </r>
    <r>
      <rPr>
        <sz val="11"/>
        <color theme="1"/>
        <rFont val="Times New Roman"/>
        <family val="1"/>
      </rPr>
      <t>was coded as having high body-wall sclerotization. 
This coding was based on the yellowish-brown to dark brown body colour, the presence of organic debris on the integument, and the occurrence of notogastral microsculpture described as reticulate or tuberculate, with some setae inserted on strong apophyses (Li and Li, 1989; Walter et al., 2014; Liu, 2021; Behan-Pelletier and Lindo, 2022).</t>
    </r>
    <phoneticPr fontId="2" type="noConversion"/>
  </si>
  <si>
    <t>Li and Li, 1989, pp. 277-279;
Walter et al., 2014, pp. 80, 82, 84;
Liu, 2021, pp. 123-127;
Behan-Pelletier and Lindo, 2022, p. 89</t>
    <phoneticPr fontId="2" type="noConversion"/>
  </si>
  <si>
    <r>
      <t xml:space="preserve">Maraun et al. (2019) noted that reproductive mode has been documented for 10 species within the genus </t>
    </r>
    <r>
      <rPr>
        <i/>
        <sz val="11"/>
        <color theme="1"/>
        <rFont val="Times New Roman"/>
        <family val="1"/>
      </rPr>
      <t>Camisia</t>
    </r>
    <r>
      <rPr>
        <sz val="11"/>
        <color theme="1"/>
        <rFont val="Times New Roman"/>
        <family val="1"/>
      </rPr>
      <t>, and these species are parthenogenetic; this evidence supports coding the genus as parthenogenetic.</t>
    </r>
    <phoneticPr fontId="2" type="noConversion"/>
  </si>
  <si>
    <t>Walter et al., 2014, pp. 84, 88-90;
Maraun et al., 2019;
Behan-Pelletier and Lindo, 2022, p. 92</t>
    <phoneticPr fontId="2" type="noConversion"/>
  </si>
  <si>
    <r>
      <rPr>
        <i/>
        <sz val="11"/>
        <color theme="1"/>
        <rFont val="Times New Roman"/>
        <family val="1"/>
      </rPr>
      <t>Camisia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</si>
  <si>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pp. 123-127;
Behan-Pelletier and Lindo, 2022, pp. 89, 91-92</t>
    <phoneticPr fontId="2" type="noConversion"/>
  </si>
  <si>
    <r>
      <rPr>
        <i/>
        <sz val="11"/>
        <color theme="1"/>
        <rFont val="Times New Roman"/>
        <family val="1"/>
      </rPr>
      <t>Camisia</t>
    </r>
    <r>
      <rPr>
        <sz val="11"/>
        <color theme="1"/>
        <rFont val="Times New Roman"/>
        <family val="1"/>
      </rPr>
      <t xml:space="preserve"> is tridactylous (Li and Li, 1989; Walter et al., 2014; Liu, 2021; Behan-Pelletier and Lindo, 2022).</t>
    </r>
    <phoneticPr fontId="2" type="noConversion"/>
  </si>
  <si>
    <t>Li and Li, 1989, p. 277;
Walter et al., 2014, pp. 80, 82;
Liu, 2021, pp. 123-127;
Behan-Pelletier and Lindo, 2022, pp. 89, 91-92</t>
    <phoneticPr fontId="2" type="noConversion"/>
  </si>
  <si>
    <r>
      <rPr>
        <i/>
        <sz val="11"/>
        <color theme="1"/>
        <rFont val="Times New Roman"/>
        <family val="1"/>
      </rPr>
      <t>Camisia</t>
    </r>
    <r>
      <rPr>
        <sz val="11"/>
        <color theme="1"/>
        <rFont val="Times New Roman"/>
        <family val="1"/>
      </rPr>
      <t xml:space="preserve"> was provisionally coded as intermediate at the genus level because its reported species</t>
    </r>
    <r>
      <rPr>
        <i/>
        <sz val="11"/>
        <color theme="1"/>
        <rFont val="Times New Roman"/>
        <family val="1"/>
      </rPr>
      <t xml:space="preserve"> C. biurus</t>
    </r>
    <r>
      <rPr>
        <sz val="11"/>
        <color theme="1"/>
        <rFont val="Times New Roman"/>
        <family val="1"/>
      </rPr>
      <t xml:space="preserve">, </t>
    </r>
    <r>
      <rPr>
        <i/>
        <sz val="11"/>
        <color theme="1"/>
        <rFont val="Times New Roman"/>
        <family val="1"/>
      </rPr>
      <t>C. segnis</t>
    </r>
    <r>
      <rPr>
        <sz val="11"/>
        <color theme="1"/>
        <rFont val="Times New Roman"/>
        <family val="1"/>
      </rPr>
      <t xml:space="preserve">, and </t>
    </r>
    <r>
      <rPr>
        <i/>
        <sz val="11"/>
        <color theme="1"/>
        <rFont val="Times New Roman"/>
        <family val="1"/>
      </rPr>
      <t>C. spinifer</t>
    </r>
    <r>
      <rPr>
        <sz val="11"/>
        <color theme="1"/>
        <rFont val="Times New Roman"/>
        <family val="1"/>
      </rPr>
      <t xml:space="preserve"> show moderate to relatively long developmental time (90–246 days), while </t>
    </r>
    <r>
      <rPr>
        <i/>
        <sz val="11"/>
        <color theme="1"/>
        <rFont val="Times New Roman"/>
        <family val="1"/>
      </rPr>
      <t>C. segnis</t>
    </r>
    <r>
      <rPr>
        <sz val="11"/>
        <color theme="1"/>
        <rFont val="Times New Roman"/>
        <family val="1"/>
      </rPr>
      <t xml:space="preserve"> also has a moderate adult lifespan (200–336 days), together suggesting mixed life-history characteristics and an intermediate rate of population turnover (Walter et al., 2014; Pfingstl and Schatz, 2021; Behan-Pelletier and Lindo, 2022).</t>
    </r>
    <phoneticPr fontId="2" type="noConversion"/>
  </si>
  <si>
    <t>Walter et al., 2014, p. 90;
Pfingstl and Schatz, 2021;
Behan-Pelletier and Lindo, 2022, pp. 89, 91-92</t>
    <phoneticPr fontId="2" type="noConversion"/>
  </si>
  <si>
    <t>herbivore</t>
  </si>
  <si>
    <r>
      <t xml:space="preserve">Maraun et al. (2023) reported seven publicly available stable isotope datasets for five species within the genus </t>
    </r>
    <r>
      <rPr>
        <i/>
        <sz val="11"/>
        <color theme="1"/>
        <rFont val="Times New Roman"/>
        <family val="1"/>
      </rPr>
      <t>Camisia</t>
    </r>
    <r>
      <rPr>
        <sz val="11"/>
        <color theme="1"/>
        <rFont val="Times New Roman"/>
        <family val="1"/>
      </rPr>
      <t xml:space="preserve">, suggesting a trophic position consistent with primary decomposition or lichen feeding; however, after recalculating mean isotope values at the genus level, we provisionally coded </t>
    </r>
    <r>
      <rPr>
        <i/>
        <sz val="11"/>
        <color theme="1"/>
        <rFont val="Times New Roman"/>
        <family val="1"/>
      </rPr>
      <t>Camisia</t>
    </r>
    <r>
      <rPr>
        <sz val="11"/>
        <color theme="1"/>
        <rFont val="Times New Roman"/>
        <family val="1"/>
      </rPr>
      <t xml:space="preserve"> as a herbivore.
In addition, gut contents include coarse dark organic matter with some fragments of hyphae and spores, supporting a plant- or lichen-based diet (Walter et al., 2014; Behan-Pelletier and Lindo, 2022).</t>
    </r>
    <phoneticPr fontId="2" type="noConversion"/>
  </si>
  <si>
    <t>Walter et al., 2014, p. 88;
Behan-Pelletier and Lindo, 2022, pp. 89, 91-92;
Maraun et al., 2023</t>
    <phoneticPr fontId="2" type="noConversion"/>
  </si>
  <si>
    <t>474.00 ± 71.17 μm
(n = 6)</t>
    <phoneticPr fontId="2" type="noConversion"/>
  </si>
  <si>
    <t>Measured range: 399–576 μm; published range: 650–1100 μm.</t>
    <phoneticPr fontId="2" type="noConversion"/>
  </si>
  <si>
    <t>Liu, 2021, pp. 128-130;
Behan-Pelletier and Lindo, 2022, pp. 92-93</t>
    <phoneticPr fontId="2" type="noConversion"/>
  </si>
  <si>
    <t>227.83 ± 61.70 μm
(n = 6)</t>
    <phoneticPr fontId="2" type="noConversion"/>
  </si>
  <si>
    <t>Measured range: 156–322 μm; published range: 310–536 μm.</t>
    <phoneticPr fontId="2" type="noConversion"/>
  </si>
  <si>
    <t>Liu, 2021, pp. 128-130</t>
    <phoneticPr fontId="2" type="noConversion"/>
  </si>
  <si>
    <r>
      <rPr>
        <i/>
        <sz val="11"/>
        <color theme="1"/>
        <rFont val="Times New Roman"/>
        <family val="1"/>
      </rPr>
      <t>Heminothrus</t>
    </r>
    <r>
      <rPr>
        <sz val="11"/>
        <color theme="1"/>
        <rFont val="Times New Roman"/>
        <family val="1"/>
      </rPr>
      <t xml:space="preserve"> was coded as having high body-wall sclerotization. 
This coding was based on the brown to nearly black body colour, the presence of distinct apophyses, the absence of a medial pair of notogastral carinae, and the whole integument usually having a coating of organic debris (Li and Li, 1989; Walter et al., 2014; Liu, 2021; Behan-Pelletier and Lindo, 2022).</t>
    </r>
    <phoneticPr fontId="2" type="noConversion"/>
  </si>
  <si>
    <t>Li and Li, 1989, pp. 277-279;
Walter et al., 2014, pp. 91-92, 96;
Liu, 2021, pp. 127-130;
Behan-Pelletier and Lindo, 2022, pp. 92-93</t>
    <phoneticPr fontId="2" type="noConversion"/>
  </si>
  <si>
    <r>
      <t xml:space="preserve">Maraun et al. (2019) noted that reproductive mode has been documented for two species within the genus </t>
    </r>
    <r>
      <rPr>
        <i/>
        <sz val="11"/>
        <color theme="1"/>
        <rFont val="Times New Roman"/>
        <family val="1"/>
      </rPr>
      <t>Heminothrus</t>
    </r>
    <r>
      <rPr>
        <sz val="11"/>
        <color theme="1"/>
        <rFont val="Times New Roman"/>
        <family val="1"/>
      </rPr>
      <t>, and both are parthenogenetic; this evidence supports coding the genus as parthenogenetic.</t>
    </r>
    <phoneticPr fontId="2" type="noConversion"/>
  </si>
  <si>
    <t>Walter et al., 2014, pp. 95, 96;
Maraun et al., 2019;
Behan-Pelletier and Lindo, 2022, p. 93</t>
    <phoneticPr fontId="2" type="noConversion"/>
  </si>
  <si>
    <r>
      <rPr>
        <i/>
        <sz val="11"/>
        <color theme="1"/>
        <rFont val="Times New Roman"/>
        <family val="1"/>
      </rPr>
      <t>Heminothrus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</si>
  <si>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Heminothrus</t>
    </r>
    <r>
      <rPr>
        <sz val="11"/>
        <color theme="1"/>
        <rFont val="Times New Roman"/>
        <family val="1"/>
      </rPr>
      <t xml:space="preserve"> is usually monodactylous, with pretarsi bearing a single claw (Li and Li, 1989; Liu, 2021).</t>
    </r>
    <phoneticPr fontId="2" type="noConversion"/>
  </si>
  <si>
    <t>Li and Li, 1989, p. 277;
Liu, 2021, pp. 128-130</t>
    <phoneticPr fontId="2" type="noConversion"/>
  </si>
  <si>
    <r>
      <rPr>
        <i/>
        <sz val="11"/>
        <color theme="1"/>
        <rFont val="Times New Roman"/>
        <family val="1"/>
      </rPr>
      <t>Heminothrus</t>
    </r>
    <r>
      <rPr>
        <sz val="11"/>
        <color theme="1"/>
        <rFont val="Times New Roman"/>
        <family val="1"/>
      </rPr>
      <t xml:space="preserve"> was provisionally coded as intermediate at the genus level because its reported species </t>
    </r>
    <r>
      <rPr>
        <i/>
        <sz val="11"/>
        <color theme="1"/>
        <rFont val="Times New Roman"/>
        <family val="1"/>
      </rPr>
      <t>H. longisetosus</t>
    </r>
    <r>
      <rPr>
        <sz val="11"/>
        <color theme="1"/>
        <rFont val="Times New Roman"/>
        <family val="1"/>
      </rPr>
      <t xml:space="preserve"> and </t>
    </r>
    <r>
      <rPr>
        <i/>
        <sz val="11"/>
        <color theme="1"/>
        <rFont val="Times New Roman"/>
        <family val="1"/>
      </rPr>
      <t>H. thori</t>
    </r>
    <r>
      <rPr>
        <sz val="11"/>
        <color theme="1"/>
        <rFont val="Times New Roman"/>
        <family val="1"/>
      </rPr>
      <t xml:space="preserve"> have moderate to relatively long developmental time (122–176 and 159–174 days, respectively), while gravid females are reported to carry up to five eggs, together suggesting mixed life-history characteristics and an intermediate rate of population turnover (Walter et al., 2014; Pfingstl and Schatz, 2021; Behan-Pelletier and Lindo, 2022).</t>
    </r>
    <phoneticPr fontId="2" type="noConversion"/>
  </si>
  <si>
    <t>Walter et al., 2014, p. 95;
Pfingstl and Schatz, 2021;
Behan-Pelletier and Lindo, 2022, p. 93</t>
    <phoneticPr fontId="2" type="noConversion"/>
  </si>
  <si>
    <r>
      <t xml:space="preserve">Maraun et al. (2023) reported one publicly available stable isotope dataset for one species within the genus </t>
    </r>
    <r>
      <rPr>
        <i/>
        <sz val="11"/>
        <color theme="1"/>
        <rFont val="Times New Roman"/>
        <family val="1"/>
      </rPr>
      <t>Heminothrus</t>
    </r>
    <r>
      <rPr>
        <sz val="11"/>
        <color theme="1"/>
        <rFont val="Times New Roman"/>
        <family val="1"/>
      </rPr>
      <t xml:space="preserve">; this evidence indicates a primary decomposer trophic guild, and we provisionally coded </t>
    </r>
    <r>
      <rPr>
        <i/>
        <sz val="11"/>
        <color theme="1"/>
        <rFont val="Times New Roman"/>
        <family val="1"/>
      </rPr>
      <t>Heminothrus</t>
    </r>
    <r>
      <rPr>
        <sz val="11"/>
        <color theme="1"/>
        <rFont val="Times New Roman"/>
        <family val="1"/>
      </rPr>
      <t xml:space="preserve"> as a primary decomposer. 
In addition, gut boli contain organic particles, along with some hyphal fragments and spores, supporting a decomposition-based diet (Walter et al., 2014; Behan-Pelletier and Lindo, 2022).</t>
    </r>
    <phoneticPr fontId="2" type="noConversion"/>
  </si>
  <si>
    <t>Walter et al., 2014, p. 95;
Behan-Pelletier and Lindo, 2022, p. 93;
Maraun et al., 2023</t>
    <phoneticPr fontId="2" type="noConversion"/>
  </si>
  <si>
    <t>728.75 ± 83.70 μm
(n = 8)</t>
    <phoneticPr fontId="2" type="noConversion"/>
  </si>
  <si>
    <t>Measured range: 628–836 μm; published range: 740–1070 μm.</t>
    <phoneticPr fontId="2" type="noConversion"/>
  </si>
  <si>
    <t>Walter et al., 2014, pp. 102-105;
Liu, 2021, p. 131;
Behan-Pelletier and Lindo, 2022, pp. 93-94</t>
    <phoneticPr fontId="2" type="noConversion"/>
  </si>
  <si>
    <t>394.12 ± 43.90 μm
(n = 8)</t>
    <phoneticPr fontId="2" type="noConversion"/>
  </si>
  <si>
    <t>Measured range: 338–447 μm; published range: 445–535 μm.</t>
    <phoneticPr fontId="2" type="noConversion"/>
  </si>
  <si>
    <t>Liu, 2021, p. 131</t>
    <phoneticPr fontId="2" type="noConversion"/>
  </si>
  <si>
    <r>
      <rPr>
        <i/>
        <sz val="11"/>
        <color theme="1"/>
        <rFont val="Times New Roman"/>
        <family val="1"/>
      </rPr>
      <t>Platynothrus</t>
    </r>
    <r>
      <rPr>
        <sz val="11"/>
        <color theme="1"/>
        <rFont val="Times New Roman"/>
        <family val="1"/>
      </rPr>
      <t xml:space="preserve"> was coded as having high body-wall sclerotization. 
This coding was based on the brown to dark brown body colour, the presence of longitudinal notogastral carinae, saccules associated with the bothridium, and notogastral surface features described as irregularly punctuate or reticulate, with organic debris often adherent in some species (Li and Li, 1989; Walter et al., 2014; Liu, 2021; Behan-Pelletier and Lindo, 2022).</t>
    </r>
    <phoneticPr fontId="2" type="noConversion"/>
  </si>
  <si>
    <t>Li and Li, 1989, pp. 277-279;
Walter et al., 2014, p. 98;
Liu, 2021, pp. 130-131;
Behan-Pelletier and Lindo, 2022, p. 94</t>
    <phoneticPr fontId="2" type="noConversion"/>
  </si>
  <si>
    <t>Maraun et al. (2019) noted that reproductive mode has been documented for three species within the genus Platynothrus, and these species are parthenogenetic; this evidence supports coding the genus as parthenogenetic.</t>
    <phoneticPr fontId="2" type="noConversion"/>
  </si>
  <si>
    <t>Krantz and Walter, 2009, p. 450;
Walter et al., 2014, pp. 102, 104-105;
Maraun et al., 2019;
Behan-Pelletier and Lindo, 2022, pp. 94-95</t>
    <phoneticPr fontId="2" type="noConversion"/>
  </si>
  <si>
    <r>
      <rPr>
        <i/>
        <sz val="11"/>
        <color theme="1"/>
        <rFont val="Times New Roman"/>
        <family val="1"/>
      </rPr>
      <t xml:space="preserve">Platynothrus </t>
    </r>
    <r>
      <rPr>
        <sz val="11"/>
        <color theme="1"/>
        <rFont val="Times New Roman"/>
        <family val="1"/>
      </rPr>
      <t>was coded as none. 
No pteromorphs or humeral processes were reported in published descriptions, and none were observed under microscopic examination.</t>
    </r>
    <phoneticPr fontId="2" type="noConversion"/>
  </si>
  <si>
    <t>Liu, 2021, pp. 130-131;
Behan-Pelletier and Lindo, 2022, pp. 94-95</t>
    <phoneticPr fontId="2" type="noConversion"/>
  </si>
  <si>
    <r>
      <rPr>
        <i/>
        <sz val="11"/>
        <color theme="1"/>
        <rFont val="Times New Roman"/>
        <family val="1"/>
      </rPr>
      <t>Platynothrus</t>
    </r>
    <r>
      <rPr>
        <sz val="11"/>
        <color theme="1"/>
        <rFont val="Times New Roman"/>
        <family val="1"/>
      </rPr>
      <t xml:space="preserve"> is usually monodactylous, with pretarsi bearing a single claw (Li and Li, 1989; Walter et al., 2014; Liu, 2021; Behan-Pelletier and Lindo, 2022).</t>
    </r>
    <phoneticPr fontId="2" type="noConversion"/>
  </si>
  <si>
    <t>Li and Li, 1989, p. 277;
Walter et al., 2014, p. 98;
Liu, 2021, p. 131;
Behan-Pelletier and Lindo, 2022, pp. 94-95</t>
    <phoneticPr fontId="2" type="noConversion"/>
  </si>
  <si>
    <r>
      <rPr>
        <i/>
        <sz val="11"/>
        <color theme="1"/>
        <rFont val="Times New Roman"/>
        <family val="1"/>
      </rPr>
      <t>Platynothrus</t>
    </r>
    <r>
      <rPr>
        <sz val="11"/>
        <color theme="1"/>
        <rFont val="Times New Roman"/>
        <family val="1"/>
      </rPr>
      <t xml:space="preserve"> was provisionally coded as intermediate at the genus level because its reported species </t>
    </r>
    <r>
      <rPr>
        <i/>
        <sz val="11"/>
        <color theme="1"/>
        <rFont val="Times New Roman"/>
        <family val="1"/>
      </rPr>
      <t>P. peltifer</t>
    </r>
    <r>
      <rPr>
        <sz val="11"/>
        <color theme="1"/>
        <rFont val="Times New Roman"/>
        <family val="1"/>
      </rPr>
      <t xml:space="preserve"> shows relatively long developmental time (154–365 days), generation time (330–365 days), and lifespan (adult lifespan 156–406 days; total lifespan 310–576 days), whereas gravid females are reported to carry multiple eggs, ranging from a few large eggs to as many as 14 eggs, together indicating mixed life-history characteristics rather than a clearly slow or fast strategy (Walter et al., 2014; Pfingstl and Schatz, 2021).</t>
    </r>
    <phoneticPr fontId="2" type="noConversion"/>
  </si>
  <si>
    <t>Walter et al., 2014, pp. 103-105;
Pfingstl and Schatz, 2021;
Lu et al., 2025</t>
    <phoneticPr fontId="2" type="noConversion"/>
  </si>
  <si>
    <r>
      <t xml:space="preserve">Maraun et al. (2023) reported ten publicly available stable isotope datasets for one species within the genus </t>
    </r>
    <r>
      <rPr>
        <i/>
        <sz val="11"/>
        <color theme="1"/>
        <rFont val="Times New Roman"/>
        <family val="1"/>
      </rPr>
      <t>Platynothrus</t>
    </r>
    <r>
      <rPr>
        <sz val="11"/>
        <color theme="1"/>
        <rFont val="Times New Roman"/>
        <family val="1"/>
      </rPr>
      <t xml:space="preserve">; these datasets consistently indicate a primary decomposer trophic guild, and we provisionally coded </t>
    </r>
    <r>
      <rPr>
        <i/>
        <sz val="11"/>
        <color theme="1"/>
        <rFont val="Times New Roman"/>
        <family val="1"/>
      </rPr>
      <t>Platynothrus</t>
    </r>
    <r>
      <rPr>
        <sz val="11"/>
        <color theme="1"/>
        <rFont val="Times New Roman"/>
        <family val="1"/>
      </rPr>
      <t xml:space="preserve"> as a primary decomposer. 
In addition, the gut bolus consists mostly of dark, coarse organic matter, sometimes with dark hyphae and spores, supporting a decomposition-based diet (Walter et al., 2014; Behan-Pelletier and Lindo, 2022).</t>
    </r>
    <phoneticPr fontId="2" type="noConversion"/>
  </si>
  <si>
    <t>Walter et al., 2014, pp. 103-105;
Behan-Pelletier and Lindo, 2022, pp. 94-95;
Maraun et al., 2023</t>
    <phoneticPr fontId="2" type="noConversion"/>
  </si>
  <si>
    <t>748.38 ± 38.34 μm
(n = 19)</t>
    <phoneticPr fontId="2" type="noConversion"/>
  </si>
  <si>
    <t>Measured range: 683–820 μm; published range: 680–1116 μm.</t>
    <phoneticPr fontId="2" type="noConversion"/>
  </si>
  <si>
    <t>Walter et al., 2014, pp. 70-79;
Liu, 2021, pp. 118-121;
Behan-Pelletier and Lindo, 2022, p. 101</t>
    <phoneticPr fontId="2" type="noConversion"/>
  </si>
  <si>
    <t>381.79 ± 26.48 μm
(n = 19)</t>
    <phoneticPr fontId="2" type="noConversion"/>
  </si>
  <si>
    <t>Measured range: 330–438 μm; published range: 350–645 μm.</t>
    <phoneticPr fontId="2" type="noConversion"/>
  </si>
  <si>
    <t>Liu, 2021, pp. 118-121</t>
    <phoneticPr fontId="2" type="noConversion"/>
  </si>
  <si>
    <r>
      <rPr>
        <i/>
        <sz val="11"/>
        <color theme="1"/>
        <rFont val="Times New Roman"/>
        <family val="1"/>
      </rPr>
      <t>Nothrus</t>
    </r>
    <r>
      <rPr>
        <sz val="11"/>
        <color theme="1"/>
        <rFont val="Times New Roman"/>
        <family val="1"/>
      </rPr>
      <t xml:space="preserve"> was coded as having high body-wall sclerotization. 
This coding was based on the yellowish-brown to dark brown body colour, the notogaster with emarginations and reticulate sculpturing, the presence of a dorsal waxy covering, and the description of the genus as holoid and well-sclerotized (Li and Li, 1989; Walter et al., 2014; Liu, 2021; Behan-Pelletier and Lindo, 2022).</t>
    </r>
    <phoneticPr fontId="2" type="noConversion"/>
  </si>
  <si>
    <t>Li and Li, 1989, pp. 277-279;
Walter et al., 2014, pp. 70-79;
Liu, 2021, pp. 117-121;
Behan-Pelletier and Lindo, 2022, pp. 100-101</t>
    <phoneticPr fontId="2" type="noConversion"/>
  </si>
  <si>
    <r>
      <t xml:space="preserve">Maraun et al. (2019) noted that reproductive mode has been documented for eight species within the genus </t>
    </r>
    <r>
      <rPr>
        <i/>
        <sz val="11"/>
        <color theme="1"/>
        <rFont val="Times New Roman"/>
        <family val="1"/>
      </rPr>
      <t>Nothrus</t>
    </r>
    <r>
      <rPr>
        <sz val="11"/>
        <color theme="1"/>
        <rFont val="Times New Roman"/>
        <family val="1"/>
      </rPr>
      <t>, and these species are parthenogenetic; this evidence supports coding the genus as parthenogenetic.</t>
    </r>
    <phoneticPr fontId="2" type="noConversion"/>
  </si>
  <si>
    <t>Walter et al., 2014, pp. 75, 78, 79;
Maraun et al., 2019;
Behan-Pelletier and Lindo, 2022, pp. 101-102</t>
    <phoneticPr fontId="2" type="noConversion"/>
  </si>
  <si>
    <r>
      <rPr>
        <i/>
        <sz val="11"/>
        <color theme="1"/>
        <rFont val="Times New Roman"/>
        <family val="1"/>
      </rPr>
      <t>Nothrus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</si>
  <si>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pp. 117-121;
Behan-Pelletier and Lindo, 2022, pp. 100-101</t>
    <phoneticPr fontId="2" type="noConversion"/>
  </si>
  <si>
    <r>
      <rPr>
        <i/>
        <sz val="11"/>
        <color theme="1"/>
        <rFont val="Times New Roman"/>
        <family val="1"/>
      </rPr>
      <t>Nothrus</t>
    </r>
    <r>
      <rPr>
        <sz val="11"/>
        <color theme="1"/>
        <rFont val="Times New Roman"/>
        <family val="1"/>
      </rPr>
      <t xml:space="preserve"> is usually monodactylous, bidactylous, or tridactylous (Li and Li, 1989; Walter et al., 2014; Liu, 2021), but our microscopic observations show that specimens are predominantly tridactylous, and we therefore coded Nothrus as tridactylous.</t>
    </r>
    <phoneticPr fontId="2" type="noConversion"/>
  </si>
  <si>
    <t>Li and Li, 1989, p. 277;
Walter et al., 2014, pp. 70-79;
Liu, 2021, pp. 118-121</t>
    <phoneticPr fontId="2" type="noConversion"/>
  </si>
  <si>
    <r>
      <rPr>
        <i/>
        <sz val="11"/>
        <color theme="1"/>
        <rFont val="Times New Roman"/>
        <family val="1"/>
      </rPr>
      <t>Nothrus</t>
    </r>
    <r>
      <rPr>
        <sz val="11"/>
        <color theme="1"/>
        <rFont val="Times New Roman"/>
        <family val="1"/>
      </rPr>
      <t xml:space="preserve"> was provisionally coded as intermediate at the genus level because its reported species show generally moderate to relatively long developmental time (73–296 days), together with moderate lifespan in some species, whereas </t>
    </r>
    <r>
      <rPr>
        <i/>
        <sz val="11"/>
        <color theme="1"/>
        <rFont val="Times New Roman"/>
        <family val="1"/>
      </rPr>
      <t>N. silvestris</t>
    </r>
    <r>
      <rPr>
        <sz val="11"/>
        <color theme="1"/>
        <rFont val="Times New Roman"/>
        <family val="1"/>
      </rPr>
      <t xml:space="preserve"> has a relatively short generation time (85 days), together indicating mixed life-history characteristics rather than a clearly slow or fast strategy (Pfingstl and Schatz, 2021).</t>
    </r>
    <phoneticPr fontId="2" type="noConversion"/>
  </si>
  <si>
    <t>Pfingstl and Schatz, 2021;</t>
    <phoneticPr fontId="2" type="noConversion"/>
  </si>
  <si>
    <r>
      <t xml:space="preserve">Maraun et al. (2023) reported 11 publicly available stable isotope datasets for four species within the genus </t>
    </r>
    <r>
      <rPr>
        <i/>
        <sz val="11"/>
        <color theme="1"/>
        <rFont val="Times New Roman"/>
        <family val="1"/>
      </rPr>
      <t>Nothrus</t>
    </r>
    <r>
      <rPr>
        <sz val="11"/>
        <color theme="1"/>
        <rFont val="Times New Roman"/>
        <family val="1"/>
      </rPr>
      <t xml:space="preserve">, suggesting trophic positions consistent with primary decomposition or fungal feeding; however, after recalculating mean isotope values at the genus level, we provisionally coded </t>
    </r>
    <r>
      <rPr>
        <i/>
        <sz val="11"/>
        <color theme="1"/>
        <rFont val="Times New Roman"/>
        <family val="1"/>
      </rPr>
      <t xml:space="preserve">Nothrus </t>
    </r>
    <r>
      <rPr>
        <sz val="11"/>
        <color theme="1"/>
        <rFont val="Times New Roman"/>
        <family val="1"/>
      </rPr>
      <t>as a fungal feeder. 
In addition, gut contents are primarily composed of coarse fragments of organic matter with fungal hyphae and spores, supporting fungal feeding (Walter et al., 2014; Behan-Pelletier and Lindo, 2022).</t>
    </r>
    <phoneticPr fontId="2" type="noConversion"/>
  </si>
  <si>
    <t>Walter et al., 2014, pp. 72, 74, 79;
Behan-Pelletier and Lindo, 2022, pp. 101-102;
Maraun et al., 2023</t>
    <phoneticPr fontId="2" type="noConversion"/>
  </si>
  <si>
    <t>605.45 ± 68.70 μm
(n = 33)</t>
    <phoneticPr fontId="2" type="noConversion"/>
  </si>
  <si>
    <t>Measured range: 486–741 μm; published range: 480–710 μm.</t>
    <phoneticPr fontId="2" type="noConversion"/>
  </si>
  <si>
    <t>Liu, 2021, pp. 132-133;
Behan-Pelletier and Lindo, 2022, p. 105;
Walter et al., 2014, pp. 120-126</t>
    <phoneticPr fontId="2" type="noConversion"/>
  </si>
  <si>
    <t>372.91 ± 30.47 μm
(n = 33)</t>
    <phoneticPr fontId="2" type="noConversion"/>
  </si>
  <si>
    <t>Measured range: 314–472 μm; published range: 310–415 μm.</t>
    <phoneticPr fontId="2" type="noConversion"/>
  </si>
  <si>
    <t>Liu, 2021, pp. 132-133</t>
    <phoneticPr fontId="2" type="noConversion"/>
  </si>
  <si>
    <r>
      <rPr>
        <i/>
        <sz val="11"/>
        <color theme="1"/>
        <rFont val="Times New Roman"/>
        <family val="1"/>
      </rPr>
      <t>Trhypochthonius</t>
    </r>
    <r>
      <rPr>
        <sz val="11"/>
        <color theme="1"/>
        <rFont val="Times New Roman"/>
        <family val="1"/>
      </rPr>
      <t xml:space="preserve"> was coded as having high body-wall sclerotization. 
This coding was based on the light brown to dark brown body colour, the rugose-reticulate and densely micropunctate prodorsum, and the darkened opisthonotal gland region observed in the photographed specimen and described in the reference materials (Li and Li, 1989; Walter et al., 2014; Liu, 2021; Behan-Pelletier and Lindo, 2022).</t>
    </r>
    <phoneticPr fontId="2" type="noConversion"/>
  </si>
  <si>
    <t>Li and Li, 1989, pp. 277-279;
Walter et al., 2014, pp. 113, 123-126;
Liu, 2021, pp. 132-133;
Behan-Pelletier and Lindo, 2022, p. 105</t>
    <phoneticPr fontId="2" type="noConversion"/>
  </si>
  <si>
    <r>
      <t xml:space="preserve">Maraun et al. (2019) noted that reproductive mode has been documented for two species within the genus </t>
    </r>
    <r>
      <rPr>
        <i/>
        <sz val="11"/>
        <color theme="1"/>
        <rFont val="Times New Roman"/>
        <family val="1"/>
      </rPr>
      <t>Trhypochthonius</t>
    </r>
    <r>
      <rPr>
        <sz val="11"/>
        <color theme="1"/>
        <rFont val="Times New Roman"/>
        <family val="1"/>
      </rPr>
      <t>, and both are parthenogenetic; this evidence supports coding the genus as parthenogenetic.</t>
    </r>
    <phoneticPr fontId="2" type="noConversion"/>
  </si>
  <si>
    <t>Walter et al., 2014, pp. 124-125;
Maraun et al., 2019</t>
    <phoneticPr fontId="2" type="noConversion"/>
  </si>
  <si>
    <r>
      <rPr>
        <i/>
        <sz val="11"/>
        <color theme="1"/>
        <rFont val="Times New Roman"/>
        <family val="1"/>
      </rPr>
      <t>Trhypochthonius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</si>
  <si>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Walter et al., 2014, pp. 113-126;
Liu, 2021, pp. 132-133;
Behan-Pelletier and Lindo, 2022, p. 105</t>
    <phoneticPr fontId="2" type="noConversion"/>
  </si>
  <si>
    <r>
      <rPr>
        <i/>
        <sz val="11"/>
        <color theme="1"/>
        <rFont val="Times New Roman"/>
        <family val="1"/>
      </rPr>
      <t>Trhypochthonius</t>
    </r>
    <r>
      <rPr>
        <sz val="11"/>
        <color theme="1"/>
        <rFont val="Times New Roman"/>
        <family val="1"/>
      </rPr>
      <t xml:space="preserve"> is tridactylous (Li and Li, 1989; Walter et al., 2014; Liu, 2021).</t>
    </r>
    <phoneticPr fontId="2" type="noConversion"/>
  </si>
  <si>
    <t>Li and Li, 1989, p. 277;
Walter et al., 2014, p. 114;
Liu, 2021, p. 133</t>
    <phoneticPr fontId="2" type="noConversion"/>
  </si>
  <si>
    <r>
      <rPr>
        <i/>
        <sz val="11"/>
        <color theme="1"/>
        <rFont val="Times New Roman"/>
        <family val="1"/>
      </rPr>
      <t>Trhypochthonius</t>
    </r>
    <r>
      <rPr>
        <sz val="11"/>
        <color theme="1"/>
        <rFont val="Times New Roman"/>
        <family val="1"/>
      </rPr>
      <t xml:space="preserve"> was provisionally coded as intermediate at the genus level because its reported species show variable developmental schedules, with developmental time ranging from 49 to 148 days in </t>
    </r>
    <r>
      <rPr>
        <i/>
        <sz val="11"/>
        <color theme="1"/>
        <rFont val="Times New Roman"/>
        <family val="1"/>
      </rPr>
      <t>T. tectorum</t>
    </r>
    <r>
      <rPr>
        <sz val="11"/>
        <color theme="1"/>
        <rFont val="Times New Roman"/>
        <family val="1"/>
      </rPr>
      <t xml:space="preserve"> and </t>
    </r>
    <r>
      <rPr>
        <i/>
        <sz val="11"/>
        <color theme="1"/>
        <rFont val="Times New Roman"/>
        <family val="1"/>
      </rPr>
      <t>T. longisetus</t>
    </r>
    <r>
      <rPr>
        <sz val="11"/>
        <color theme="1"/>
        <rFont val="Times New Roman"/>
        <family val="1"/>
      </rPr>
      <t xml:space="preserve">, together with lifespan variation in </t>
    </r>
    <r>
      <rPr>
        <i/>
        <sz val="11"/>
        <color theme="1"/>
        <rFont val="Times New Roman"/>
        <family val="1"/>
      </rPr>
      <t>T. crassus</t>
    </r>
    <r>
      <rPr>
        <sz val="11"/>
        <color theme="1"/>
        <rFont val="Times New Roman"/>
        <family val="1"/>
      </rPr>
      <t xml:space="preserve"> (58–208 days); meanwhile, gravid females are reported to carry only 1–7 large eggs, and </t>
    </r>
    <r>
      <rPr>
        <i/>
        <sz val="11"/>
        <color theme="1"/>
        <rFont val="Times New Roman"/>
        <family val="1"/>
      </rPr>
      <t>T. tectorum</t>
    </r>
    <r>
      <rPr>
        <sz val="11"/>
        <color theme="1"/>
        <rFont val="Times New Roman"/>
        <family val="1"/>
      </rPr>
      <t xml:space="preserve"> has been reported to show ovovivipary or egg retention, together indicating mixed life-history characteristics rather than a clearly fast or slow strategy (Walter et al., 2014; Pfingstl and Schatz, 2021; Behan-Pelletier and Lindo, 2022).
</t>
    </r>
    <phoneticPr fontId="2" type="noConversion"/>
  </si>
  <si>
    <t>Walter et al., 2014, pp. 124-127;
Pfingstl and Schatz, 2021;
Behan-Pelletier and Lindo, 2022, p. 106</t>
    <phoneticPr fontId="2" type="noConversion"/>
  </si>
  <si>
    <r>
      <t xml:space="preserve">Maraun et al. (2023) reported six publicly available stable isotope datasets for five species in the family Trhypochthoniidae, indicating multiple feeding strategies within the family; however, after recalculating mean isotope values at the family level, we used the recalculated Trhypochthoniidae mean as a proxy and provisionally coded the genus </t>
    </r>
    <r>
      <rPr>
        <i/>
        <sz val="11"/>
        <color theme="1"/>
        <rFont val="Times New Roman"/>
        <family val="1"/>
      </rPr>
      <t>Trhypochthonius</t>
    </r>
    <r>
      <rPr>
        <sz val="11"/>
        <color theme="1"/>
        <rFont val="Times New Roman"/>
        <family val="1"/>
      </rPr>
      <t xml:space="preserve"> as a fungal feeder. 
In addition, gut contents include dark hyphae and pale to brown granular material, supporting fungal feeding (Walter et al., 2014; Behan-Pelletier and Lindo, 2022).</t>
    </r>
    <phoneticPr fontId="2" type="noConversion"/>
  </si>
  <si>
    <t>Walter et al., 2014, pp. 124-126;
Behan-Pelletier and Lindo, 2022, p. 106;
Maraun et al., 2023</t>
    <phoneticPr fontId="2" type="noConversion"/>
  </si>
  <si>
    <t>652.88 ± 11.50 μm
(n = 8)</t>
    <phoneticPr fontId="2" type="noConversion"/>
  </si>
  <si>
    <t>Measured range: 638–671 μm</t>
    <phoneticPr fontId="2" type="noConversion"/>
  </si>
  <si>
    <t>365.62 ± 8.33 μm
(n = 8)</t>
    <phoneticPr fontId="2" type="noConversion"/>
  </si>
  <si>
    <t>Measured range: 354–379 μm</t>
    <phoneticPr fontId="2" type="noConversion"/>
  </si>
  <si>
    <r>
      <rPr>
        <i/>
        <sz val="11"/>
        <color theme="1"/>
        <rFont val="Times New Roman"/>
        <family val="1"/>
      </rPr>
      <t>Archegozetes</t>
    </r>
    <r>
      <rPr>
        <sz val="11"/>
        <color theme="1"/>
        <rFont val="Times New Roman"/>
        <family val="1"/>
      </rPr>
      <t xml:space="preserve"> was coded as having medium body-wall sclerotization. 
This coding was based on its holoid body form, stegasime prodorsum, narrow ventrosejugal articulation, large ventral plates, and a notogaster bearing an opisthonotal gland (Li and Li, 1989; Behan-Pelletier and Lindo, 2022).</t>
    </r>
    <phoneticPr fontId="2" type="noConversion"/>
  </si>
  <si>
    <r>
      <t xml:space="preserve">Maraun et al. (2019) noted that reproductive mode has been documented for only one species within the genus </t>
    </r>
    <r>
      <rPr>
        <i/>
        <sz val="11"/>
        <color theme="1"/>
        <rFont val="Times New Roman"/>
        <family val="1"/>
      </rPr>
      <t>Archegozetes</t>
    </r>
    <r>
      <rPr>
        <sz val="11"/>
        <color theme="1"/>
        <rFont val="Times New Roman"/>
        <family val="1"/>
      </rPr>
      <t>, and that species is parthenogenetic; this limited evidence supports coding the genus as parthenogenetic.</t>
    </r>
    <phoneticPr fontId="2" type="noConversion"/>
  </si>
  <si>
    <r>
      <rPr>
        <i/>
        <sz val="11"/>
        <color theme="1"/>
        <rFont val="Times New Roman"/>
        <family val="1"/>
      </rPr>
      <t>Archegozetes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</si>
  <si>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Behan-Pelletier and Lindo, 2022, pp. 277-279</t>
    <phoneticPr fontId="2" type="noConversion"/>
  </si>
  <si>
    <r>
      <rPr>
        <i/>
        <sz val="11"/>
        <color theme="1"/>
        <rFont val="Times New Roman"/>
        <family val="1"/>
      </rPr>
      <t xml:space="preserve">Archegozetes </t>
    </r>
    <r>
      <rPr>
        <sz val="11"/>
        <color theme="1"/>
        <rFont val="Times New Roman"/>
        <family val="1"/>
      </rPr>
      <t>is monodactylous, with pretarsi bearing a single claw (Li and Li, 1989).</t>
    </r>
    <phoneticPr fontId="2" type="noConversion"/>
  </si>
  <si>
    <t>Li and Li, 1989, p. 277</t>
    <phoneticPr fontId="2" type="noConversion"/>
  </si>
  <si>
    <r>
      <rPr>
        <i/>
        <sz val="11"/>
        <color theme="1"/>
        <rFont val="Times New Roman"/>
        <family val="1"/>
      </rPr>
      <t>Archegozetes</t>
    </r>
    <r>
      <rPr>
        <sz val="11"/>
        <color theme="1"/>
        <rFont val="Times New Roman"/>
        <family val="1"/>
      </rPr>
      <t xml:space="preserve"> was provisionally coded as intermediate at the genus level because its reported species </t>
    </r>
    <r>
      <rPr>
        <i/>
        <sz val="11"/>
        <color theme="1"/>
        <rFont val="Times New Roman"/>
        <family val="1"/>
      </rPr>
      <t>A. longisetosus</t>
    </r>
    <r>
      <rPr>
        <sz val="11"/>
        <color theme="1"/>
        <rFont val="Times New Roman"/>
        <family val="1"/>
      </rPr>
      <t xml:space="preserve"> shows relatively short developmental time (32–88 days), but a variable generation time (60–228 days), together with a total lifespan of 126–280 days and an adult lifespan of 10–88 days, indicating a relatively fast but not unequivocally r-selected life-history strategy (Pfingstl and Schatz, 2021).</t>
    </r>
    <phoneticPr fontId="2" type="noConversion"/>
  </si>
  <si>
    <t>Pfingstl and Schatz, 2021;
Lu et al., 2025</t>
    <phoneticPr fontId="2" type="noConversion"/>
  </si>
  <si>
    <r>
      <t xml:space="preserve">Maraun et al. (2023) reported two publicly available stable isotope datasets for one species within the genus </t>
    </r>
    <r>
      <rPr>
        <i/>
        <sz val="11"/>
        <color theme="1"/>
        <rFont val="Times New Roman"/>
        <family val="1"/>
      </rPr>
      <t>Archegozetes</t>
    </r>
    <r>
      <rPr>
        <sz val="11"/>
        <color theme="1"/>
        <rFont val="Times New Roman"/>
        <family val="1"/>
      </rPr>
      <t xml:space="preserve">; this evidence indicates a moss-feeding trophic guild, and we provisionally coded </t>
    </r>
    <r>
      <rPr>
        <i/>
        <sz val="11"/>
        <color theme="1"/>
        <rFont val="Times New Roman"/>
        <family val="1"/>
      </rPr>
      <t>Archegozetes</t>
    </r>
    <r>
      <rPr>
        <sz val="11"/>
        <color theme="1"/>
        <rFont val="Times New Roman"/>
        <family val="1"/>
      </rPr>
      <t xml:space="preserve"> as an herbivore.</t>
    </r>
    <phoneticPr fontId="2" type="noConversion"/>
  </si>
  <si>
    <t>483.28 ± 38.54 μm
(n = 18)</t>
    <phoneticPr fontId="2" type="noConversion"/>
  </si>
  <si>
    <t>Measured range: 430–560 μm; published range: 460–470 μm.</t>
    <phoneticPr fontId="2" type="noConversion"/>
  </si>
  <si>
    <t>Walter et al., 2014, p. 107;
Liu, 2021, pp. 135-136</t>
    <phoneticPr fontId="2" type="noConversion"/>
  </si>
  <si>
    <t>227.89 ± 20.51 μm
(n = 18)</t>
    <phoneticPr fontId="2" type="noConversion"/>
  </si>
  <si>
    <t>Measured range: 201–269 μm; published range: 215–225 μm.</t>
    <phoneticPr fontId="2" type="noConversion"/>
  </si>
  <si>
    <t>Liu, 2021, pp. 135-136</t>
    <phoneticPr fontId="2" type="noConversion"/>
  </si>
  <si>
    <r>
      <rPr>
        <i/>
        <sz val="11"/>
        <color theme="1"/>
        <rFont val="Times New Roman"/>
        <family val="1"/>
      </rPr>
      <t>Malaconothrus</t>
    </r>
    <r>
      <rPr>
        <sz val="11"/>
        <color theme="1"/>
        <rFont val="Times New Roman"/>
        <family val="1"/>
      </rPr>
      <t xml:space="preserve"> was coded as having high body-wall sclerotization. 
This coding was based on the yellowish-brown body colour and densely reticulate body surface, together with its holoid body form, stegasime prodorsum, and a notogaster bearing centrodorsal ridges, M-shaped posterior ridges, and an opisthonotal gland (Li and Li, 1989; Liu, 2021; Behan-Pelletier and Lindo, 2022).</t>
    </r>
    <phoneticPr fontId="2" type="noConversion"/>
  </si>
  <si>
    <t>Li and Li, 1989, pp. 277-279;
Liu, 2021, pp. 135-136;
Behan-Pelletier and Lindo, 2022, p. 97</t>
    <phoneticPr fontId="2" type="noConversion"/>
  </si>
  <si>
    <r>
      <t xml:space="preserve">Maraun et al. (2019) noted that reproductive mode has been documented for 11 species within the genus </t>
    </r>
    <r>
      <rPr>
        <i/>
        <sz val="11"/>
        <color theme="1"/>
        <rFont val="Times New Roman"/>
        <family val="1"/>
      </rPr>
      <t>Malaconothrus</t>
    </r>
    <r>
      <rPr>
        <sz val="11"/>
        <color theme="1"/>
        <rFont val="Times New Roman"/>
        <family val="1"/>
      </rPr>
      <t>, and these species are parthenogenetic; this evidence supports coding the genus as parthenogenetic.</t>
    </r>
    <phoneticPr fontId="2" type="noConversion"/>
  </si>
  <si>
    <t>Walter et al., 2014, p. 108;
Maraun et al., 2019;
Behan-Pelletier and Lindo, 2022, p. 98</t>
    <phoneticPr fontId="2" type="noConversion"/>
  </si>
  <si>
    <r>
      <rPr>
        <i/>
        <sz val="11"/>
        <color theme="1"/>
        <rFont val="Times New Roman"/>
        <family val="1"/>
      </rPr>
      <t>Malaconothrus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</si>
  <si>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Malaconothrus</t>
    </r>
    <r>
      <rPr>
        <sz val="11"/>
        <color theme="1"/>
        <rFont val="Times New Roman"/>
        <family val="1"/>
      </rPr>
      <t xml:space="preserve"> is monodactylous, with pretarsi bearing a single claw (Walter et al., 2014; Liu, 2021).</t>
    </r>
    <phoneticPr fontId="2" type="noConversion"/>
  </si>
  <si>
    <t>Walter et al., 2014, p. 106;
Liu, 2021, pp. 135-136</t>
    <phoneticPr fontId="2" type="noConversion"/>
  </si>
  <si>
    <r>
      <rPr>
        <i/>
        <sz val="11"/>
        <color theme="1"/>
        <rFont val="Times New Roman"/>
        <family val="1"/>
      </rPr>
      <t>Malaconothrus</t>
    </r>
    <r>
      <rPr>
        <sz val="11"/>
        <color theme="1"/>
        <rFont val="Times New Roman"/>
        <family val="1"/>
      </rPr>
      <t xml:space="preserve"> was provisionally coded as intermediate at the genus level because gravid females are reported to produce and carry only a single large egg at a time, suggesting low reproductive output and relatively high reproductive investment per offspring, although direct evidence on developmental or generation time is currently lacking (Walter et al., 2014; Behan-Pelletier and Lindo, 2022).</t>
    </r>
    <phoneticPr fontId="2" type="noConversion"/>
  </si>
  <si>
    <t>Walter et al., 2014, p. 108;
Behan-Pelletier and Lindo, 2022, p. 98</t>
    <phoneticPr fontId="2" type="noConversion"/>
  </si>
  <si>
    <r>
      <t xml:space="preserve">Maraun et al. (2023) reported two publicly available stable isotope datasets for one species within the genus </t>
    </r>
    <r>
      <rPr>
        <i/>
        <sz val="11"/>
        <color theme="1"/>
        <rFont val="Times New Roman"/>
        <family val="1"/>
      </rPr>
      <t>Malaconothrus</t>
    </r>
    <r>
      <rPr>
        <sz val="11"/>
        <color theme="1"/>
        <rFont val="Times New Roman"/>
        <family val="1"/>
      </rPr>
      <t xml:space="preserve">; these datasets consistently indicate a fungal-feeding trophic guild, and we provisionally coded </t>
    </r>
    <r>
      <rPr>
        <i/>
        <sz val="11"/>
        <color theme="1"/>
        <rFont val="Times New Roman"/>
        <family val="1"/>
      </rPr>
      <t>Malaconothrus</t>
    </r>
    <r>
      <rPr>
        <sz val="11"/>
        <color theme="1"/>
        <rFont val="Times New Roman"/>
        <family val="1"/>
      </rPr>
      <t xml:space="preserve"> as a fungal feeder. 
Gut contents include extensive brown fungal hyphae and bits of organic matter, further supporting fungal feeding (Walter et al., 2014; Behan-Pelletier and Lindo, 2022).</t>
    </r>
    <phoneticPr fontId="2" type="noConversion"/>
  </si>
  <si>
    <t>Walter et al., 2014, p. 108;
Behan-Pelletier and Lindo, 2022, p. 98;
Maraun et al., 2023</t>
    <phoneticPr fontId="2" type="noConversion"/>
  </si>
  <si>
    <t>562.71 ± 57.33 μm
(n = 7)</t>
    <phoneticPr fontId="2" type="noConversion"/>
  </si>
  <si>
    <t>Measured range: 496–642 μm; published range: 710–810 μm.</t>
    <phoneticPr fontId="2" type="noConversion"/>
  </si>
  <si>
    <t>269.43 ± 27.28 μm
(n = 7)</t>
    <phoneticPr fontId="2" type="noConversion"/>
  </si>
  <si>
    <t>Measured range: 238–309 μm.</t>
    <phoneticPr fontId="2" type="noConversion"/>
  </si>
  <si>
    <r>
      <rPr>
        <i/>
        <sz val="11"/>
        <color theme="1"/>
        <rFont val="Times New Roman"/>
        <family val="1"/>
      </rPr>
      <t>Trimalaconothrus</t>
    </r>
    <r>
      <rPr>
        <sz val="11"/>
        <color theme="1"/>
        <rFont val="Times New Roman"/>
        <family val="1"/>
      </rPr>
      <t xml:space="preserve"> was coded as having high body-wall sclerotization. 
This coding was based on its reddish-brown body colour, densely granulate cerotegument, and a notogaster described as evenly foveolate and bearing parallel carinae, together with its holoid body form, stegasime prodorsum, and a notogaster bearing an opisthonotal gland (Li and Li, 1989; Walter et al., 2014).</t>
    </r>
    <phoneticPr fontId="2" type="noConversion"/>
  </si>
  <si>
    <r>
      <t xml:space="preserve">Maraun et al. (2019) noted that reproductive mode has been documented for 16 species in Malaconothridae, and these records indicate predominantly parthenogenetic reproduction; because </t>
    </r>
    <r>
      <rPr>
        <i/>
        <sz val="11"/>
        <color theme="1"/>
        <rFont val="Times New Roman"/>
        <family val="1"/>
      </rPr>
      <t>Trimalaconothrus</t>
    </r>
    <r>
      <rPr>
        <sz val="11"/>
        <color theme="1"/>
        <rFont val="Times New Roman"/>
        <family val="1"/>
      </rPr>
      <t xml:space="preserve"> belongs to Malaconothridae, this evidence supports a provisional parthenogenetic assignment for the genus.</t>
    </r>
    <phoneticPr fontId="2" type="noConversion"/>
  </si>
  <si>
    <t>Walter et al., 2014, pp. 110-112;
Maraun et al., 2019</t>
    <phoneticPr fontId="2" type="noConversion"/>
  </si>
  <si>
    <t>Assigned according to explicit records of reproductive mode at the species or genus level when available, and otherwise inferred provisionally from higher-taxon evidence in the literature.</t>
    <phoneticPr fontId="2" type="noConversion"/>
  </si>
  <si>
    <r>
      <rPr>
        <i/>
        <sz val="11"/>
        <color theme="1"/>
        <rFont val="Times New Roman"/>
        <family val="1"/>
      </rPr>
      <t>Trimalaconothrus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</si>
  <si>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Trimalaconothrus</t>
    </r>
    <r>
      <rPr>
        <sz val="11"/>
        <color theme="1"/>
        <rFont val="Times New Roman"/>
        <family val="1"/>
      </rPr>
      <t xml:space="preserve"> is tridactylous (Walter et al., 2014).</t>
    </r>
    <phoneticPr fontId="2" type="noConversion"/>
  </si>
  <si>
    <t>Walter et al., 2014, pp. 106, 108</t>
    <phoneticPr fontId="2" type="noConversion"/>
  </si>
  <si>
    <r>
      <rPr>
        <i/>
        <sz val="11"/>
        <color theme="1"/>
        <rFont val="Times New Roman"/>
        <family val="1"/>
      </rPr>
      <t>Trimalaconothrus</t>
    </r>
    <r>
      <rPr>
        <sz val="11"/>
        <color theme="1"/>
        <rFont val="Times New Roman"/>
        <family val="1"/>
      </rPr>
      <t xml:space="preserve"> was provisionally coded as intermediate at the genus level because females are reported to be apparently ovoviviparous and to carry up to four larvae internally, suggesting relatively high reproductive investment per offspring, although direct evidence on developmental time, generation time, or lifespan is currently lacking (Walter et al., 2014).</t>
    </r>
    <phoneticPr fontId="2" type="noConversion"/>
  </si>
  <si>
    <t>Walter et al., 2014, p. 111</t>
    <phoneticPr fontId="2" type="noConversion"/>
  </si>
  <si>
    <t>predator</t>
  </si>
  <si>
    <r>
      <t xml:space="preserve">Maraun et al. (2023) reported three publicly available stable isotope datasets for three species within the genus </t>
    </r>
    <r>
      <rPr>
        <i/>
        <sz val="11"/>
        <color theme="1"/>
        <rFont val="Times New Roman"/>
        <family val="1"/>
      </rPr>
      <t>Trimalaconothrus</t>
    </r>
    <r>
      <rPr>
        <sz val="11"/>
        <color theme="1"/>
        <rFont val="Times New Roman"/>
        <family val="1"/>
      </rPr>
      <t xml:space="preserve">, suggesting trophic positions with fungal feeding or predation; however, after recalculating mean isotope values at the genus level, we provisionally coded </t>
    </r>
    <r>
      <rPr>
        <i/>
        <sz val="11"/>
        <color theme="1"/>
        <rFont val="Times New Roman"/>
        <family val="1"/>
      </rPr>
      <t>Trimalaconothrus</t>
    </r>
    <r>
      <rPr>
        <sz val="11"/>
        <color theme="1"/>
        <rFont val="Times New Roman"/>
        <family val="1"/>
      </rPr>
      <t xml:space="preserve"> as a predator.</t>
    </r>
    <phoneticPr fontId="2" type="noConversion"/>
  </si>
  <si>
    <t>895.78 ± 59.84 μm
(n = 9)</t>
    <phoneticPr fontId="2" type="noConversion"/>
  </si>
  <si>
    <t>Measured range: 772–967 μm; published range: 595–1070 μm.</t>
    <phoneticPr fontId="2" type="noConversion"/>
  </si>
  <si>
    <t>Walter et al., 2014, p. 128;
Liu, 2021, p. 138;
Behan-Pelletier and Lindo, 2022, p. 99</t>
    <phoneticPr fontId="2" type="noConversion"/>
  </si>
  <si>
    <t>513.22 ± 34.43 μm
(n = 9)</t>
    <phoneticPr fontId="2" type="noConversion"/>
  </si>
  <si>
    <t>Measured range: 466–563 μm; published range: 245–535 μm.</t>
    <phoneticPr fontId="2" type="noConversion"/>
  </si>
  <si>
    <t>Liu, 2021, p. 138</t>
    <phoneticPr fontId="2" type="noConversion"/>
  </si>
  <si>
    <r>
      <rPr>
        <i/>
        <sz val="11"/>
        <color theme="1"/>
        <rFont val="Times New Roman"/>
        <family val="1"/>
      </rPr>
      <t>Nanhermannia</t>
    </r>
    <r>
      <rPr>
        <sz val="11"/>
        <color theme="1"/>
        <rFont val="Times New Roman"/>
        <family val="1"/>
      </rPr>
      <t xml:space="preserve"> was coded as having high body-wall sclerotization. 
This coding was based on the dark reddish-brown body colour, the mite being described as heavily armoured, the notogaster bearing large round to angular foveae, and its holoid body form with a stegasime prodorsum, posterior tubercles or ridges directed over the dorsosejugal scissure, and an opisthonotal gland (Li and Li, 1989; Walter et al., 2014; Liu, 2021; Behan-Pelletier and Lindo, 2022).</t>
    </r>
    <phoneticPr fontId="2" type="noConversion"/>
  </si>
  <si>
    <t>Li and Li, 1989, p. 283;
Walter et al., 2014, p. 128;
Liu, 2021, pp. 137-138;
Behan-Pelletier and Lindo, 2022, p. 99</t>
    <phoneticPr fontId="2" type="noConversion"/>
  </si>
  <si>
    <r>
      <t xml:space="preserve">Maraun et al. (2019) noted that reproductive mode has been documented for seven species within the genus </t>
    </r>
    <r>
      <rPr>
        <i/>
        <sz val="11"/>
        <color theme="1"/>
        <rFont val="Times New Roman"/>
        <family val="1"/>
      </rPr>
      <t>Nanhermannia</t>
    </r>
    <r>
      <rPr>
        <sz val="11"/>
        <color theme="1"/>
        <rFont val="Times New Roman"/>
        <family val="1"/>
      </rPr>
      <t>, and these species are parthenogenetic; this evidence supports coding the genus as parthenogenetic.</t>
    </r>
    <phoneticPr fontId="2" type="noConversion"/>
  </si>
  <si>
    <t>Walter et al., 2014, p. 128;
Maraun et al., 2019;
Behan-Pelletier and Lindo, 2022, p. 100</t>
    <phoneticPr fontId="2" type="noConversion"/>
  </si>
  <si>
    <r>
      <rPr>
        <i/>
        <sz val="11"/>
        <color theme="1"/>
        <rFont val="Times New Roman"/>
        <family val="1"/>
      </rPr>
      <t>Nanhermannia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</si>
  <si>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Walter et al., 2014, p. 128;
Liu, 2021, pp. 137-138;
Behan-Pelletier and Lindo, 2022, p. 99</t>
    <phoneticPr fontId="2" type="noConversion"/>
  </si>
  <si>
    <r>
      <rPr>
        <i/>
        <sz val="11"/>
        <color theme="1"/>
        <rFont val="Times New Roman"/>
        <family val="1"/>
      </rPr>
      <t>Nanhermannia</t>
    </r>
    <r>
      <rPr>
        <sz val="11"/>
        <color theme="1"/>
        <rFont val="Times New Roman"/>
        <family val="1"/>
      </rPr>
      <t xml:space="preserve"> is monodactylous, with pretarsi bearing a single claw (Liu, 2021).</t>
    </r>
    <phoneticPr fontId="2" type="noConversion"/>
  </si>
  <si>
    <r>
      <rPr>
        <i/>
        <sz val="11"/>
        <color theme="1"/>
        <rFont val="Times New Roman"/>
        <family val="1"/>
      </rPr>
      <t>Nanhermannia</t>
    </r>
    <r>
      <rPr>
        <sz val="11"/>
        <color theme="1"/>
        <rFont val="Times New Roman"/>
        <family val="1"/>
      </rPr>
      <t xml:space="preserve"> was provisionally coded as intermediate at the genus level because its reported species show moderate to relatively long developmental time (83–149 days), and available data also indicate a generation time of 88–170 days in some species, while gravid females are reported to carry only two large eggs, together suggesting relatively low reproductive output and mixed life-history characteristics rather than a clearly fast or slow strategy (Walter et al., 2014; Pfingstl and Schatz, 2021).</t>
    </r>
    <phoneticPr fontId="2" type="noConversion"/>
  </si>
  <si>
    <t>Walter et al., 2014, p. 129;
Pfingstl and Schatz, 2021</t>
    <phoneticPr fontId="2" type="noConversion"/>
  </si>
  <si>
    <r>
      <t xml:space="preserve">Maraun et al. (2023) reported seven publicly available stable isotope datasets for three species within the genus </t>
    </r>
    <r>
      <rPr>
        <i/>
        <sz val="11"/>
        <color theme="1"/>
        <rFont val="Times New Roman"/>
        <family val="1"/>
      </rPr>
      <t>Nanhermannia</t>
    </r>
    <r>
      <rPr>
        <sz val="11"/>
        <color theme="1"/>
        <rFont val="Times New Roman"/>
        <family val="1"/>
      </rPr>
      <t xml:space="preserve">; these datasets consistently indicate a fungal-feeding trophic guild, and we provisionally coded </t>
    </r>
    <r>
      <rPr>
        <i/>
        <sz val="11"/>
        <color theme="1"/>
        <rFont val="Times New Roman"/>
        <family val="1"/>
      </rPr>
      <t>Nanhermannia</t>
    </r>
    <r>
      <rPr>
        <sz val="11"/>
        <color theme="1"/>
        <rFont val="Times New Roman"/>
        <family val="1"/>
      </rPr>
      <t xml:space="preserve"> as a fungal feeder. 
In addition, gut boli contain fungal hyphae and granular to sheet-like material that probably represents bits of plant material, supporting fungal feeding (Walter et al., 2014; Behan-Pelletier and Lindo, 2022).</t>
    </r>
    <phoneticPr fontId="2" type="noConversion"/>
  </si>
  <si>
    <t>Walter et al., 2014, p. 129;
Behan-Pelletier and Lindo, 2022, p. 100;
Maraun et al., 2023</t>
    <phoneticPr fontId="2" type="noConversion"/>
  </si>
  <si>
    <t>771.75 ± 109.20 μm
(n = 8)</t>
    <phoneticPr fontId="2" type="noConversion"/>
  </si>
  <si>
    <t>Measured range: 630–928 μm; published range: 734–1150 μm.</t>
    <phoneticPr fontId="2" type="noConversion"/>
  </si>
  <si>
    <t>Liu, 2021, p. 139;
Behan-Pelletier and Lindo, 2022, p. 96</t>
    <phoneticPr fontId="2" type="noConversion"/>
  </si>
  <si>
    <t>459.62 ± 55.13 μm
(n = 8)</t>
    <phoneticPr fontId="2" type="noConversion"/>
  </si>
  <si>
    <t>Measured range: 359–528 μm; published range: 455–460 μm.</t>
    <phoneticPr fontId="2" type="noConversion"/>
  </si>
  <si>
    <t>Liu, 2021, p. 139</t>
    <phoneticPr fontId="2" type="noConversion"/>
  </si>
  <si>
    <r>
      <rPr>
        <i/>
        <sz val="11"/>
        <color theme="1"/>
        <rFont val="Times New Roman"/>
        <family val="1"/>
      </rPr>
      <t>Hermannia</t>
    </r>
    <r>
      <rPr>
        <sz val="11"/>
        <color theme="1"/>
        <rFont val="Times New Roman"/>
        <family val="1"/>
      </rPr>
      <t xml:space="preserve"> was coded as having high body-wall sclerotization. 
This coding was based on the dark brown body colour, the notogaster with conspicuous nodules and reticulate sculpturing, including large cells, and the holoid body form described in the reference materials (Liu, 2021; Li and Li, 1989; Behan-Pelletier and Lindo, 2022).</t>
    </r>
    <phoneticPr fontId="2" type="noConversion"/>
  </si>
  <si>
    <t>Li and Li, 1989, p. 283;
Liu, 2021, p. 139;
Behan-Pelletier and Lindo, 2022, p. 96</t>
    <phoneticPr fontId="2" type="noConversion"/>
  </si>
  <si>
    <t>sexual
(0)</t>
    <phoneticPr fontId="2" type="noConversion"/>
  </si>
  <si>
    <r>
      <t xml:space="preserve">Maraun et al. (2019) noted that reproductive mode has been documented for nine species within the genus </t>
    </r>
    <r>
      <rPr>
        <i/>
        <sz val="11"/>
        <color theme="1"/>
        <rFont val="Times New Roman"/>
        <family val="1"/>
      </rPr>
      <t>Hermannia</t>
    </r>
    <r>
      <rPr>
        <sz val="11"/>
        <color theme="1"/>
        <rFont val="Times New Roman"/>
        <family val="1"/>
      </rPr>
      <t>, and these species reproduce sexually; this evidence supports coding the genus as sexual.</t>
    </r>
    <phoneticPr fontId="2" type="noConversion"/>
  </si>
  <si>
    <r>
      <rPr>
        <i/>
        <sz val="11"/>
        <color theme="1"/>
        <rFont val="Times New Roman"/>
        <family val="1"/>
      </rPr>
      <t xml:space="preserve">Hermannia </t>
    </r>
    <r>
      <rPr>
        <sz val="11"/>
        <color theme="1"/>
        <rFont val="Times New Roman"/>
        <family val="1"/>
      </rPr>
      <t>was coded as none. 
No pteromorphs or humeral processes were reported in published descriptions, and none were observed under microscopic examination.</t>
    </r>
    <phoneticPr fontId="2" type="noConversion"/>
  </si>
  <si>
    <r>
      <rPr>
        <i/>
        <sz val="11"/>
        <color theme="1"/>
        <rFont val="Times New Roman"/>
        <family val="1"/>
      </rPr>
      <t>Hermannia</t>
    </r>
    <r>
      <rPr>
        <sz val="11"/>
        <color theme="1"/>
        <rFont val="Times New Roman"/>
        <family val="1"/>
      </rPr>
      <t xml:space="preserve"> is monodactylous, with pretarsi bearing a single claw (Liu, 2021).</t>
    </r>
    <phoneticPr fontId="2" type="noConversion"/>
  </si>
  <si>
    <r>
      <rPr>
        <i/>
        <sz val="11"/>
        <color theme="1"/>
        <rFont val="Times New Roman"/>
        <family val="1"/>
      </rPr>
      <t>Hermannia</t>
    </r>
    <r>
      <rPr>
        <sz val="11"/>
        <color theme="1"/>
        <rFont val="Times New Roman"/>
        <family val="1"/>
      </rPr>
      <t xml:space="preserve"> was provisionally coded as K-selected at the genus level because its reported species show relatively long developmental time (120–365 days), together with long generation time in </t>
    </r>
    <r>
      <rPr>
        <i/>
        <sz val="11"/>
        <color theme="1"/>
        <rFont val="Times New Roman"/>
        <family val="1"/>
      </rPr>
      <t>H. gibba</t>
    </r>
    <r>
      <rPr>
        <sz val="11"/>
        <color theme="1"/>
        <rFont val="Times New Roman"/>
        <family val="1"/>
      </rPr>
      <t xml:space="preserve"> (730 days) and prolonged lifespan in </t>
    </r>
    <r>
      <rPr>
        <i/>
        <sz val="11"/>
        <color theme="1"/>
        <rFont val="Times New Roman"/>
        <family val="1"/>
      </rPr>
      <t>H. subglabra</t>
    </r>
    <r>
      <rPr>
        <sz val="11"/>
        <color theme="1"/>
        <rFont val="Times New Roman"/>
        <family val="1"/>
      </rPr>
      <t xml:space="preserve"> (540–600 days), indicating slow development and low population turnover (Pfingstl and Schatz, 2021).</t>
    </r>
    <phoneticPr fontId="2" type="noConversion"/>
  </si>
  <si>
    <r>
      <t xml:space="preserve">Maraun et al. (2023) reported seven publicly available stable isotope datasets for three species within the genus </t>
    </r>
    <r>
      <rPr>
        <i/>
        <sz val="11"/>
        <color theme="1"/>
        <rFont val="Times New Roman"/>
        <family val="1"/>
      </rPr>
      <t>Hermannia</t>
    </r>
    <r>
      <rPr>
        <sz val="11"/>
        <color theme="1"/>
        <rFont val="Times New Roman"/>
        <family val="1"/>
      </rPr>
      <t xml:space="preserve">; these datasets consistently indicate a primary decomposer trophic guild, and we provisionally coded </t>
    </r>
    <r>
      <rPr>
        <i/>
        <sz val="11"/>
        <color theme="1"/>
        <rFont val="Times New Roman"/>
        <family val="1"/>
      </rPr>
      <t>Hermannia</t>
    </r>
    <r>
      <rPr>
        <sz val="11"/>
        <color theme="1"/>
        <rFont val="Times New Roman"/>
        <family val="1"/>
      </rPr>
      <t xml:space="preserve"> as a primary decomposer.</t>
    </r>
    <phoneticPr fontId="2" type="noConversion"/>
  </si>
  <si>
    <t>450.00 ± 99.03 μm
(n = 9)</t>
    <phoneticPr fontId="2" type="noConversion"/>
  </si>
  <si>
    <t>Measured range: 318–596 μm; published range: 330–800 μm.</t>
    <phoneticPr fontId="2" type="noConversion"/>
  </si>
  <si>
    <t>Walter et al., 2014, p. 173;
Liu, 2021, p. 153;
Behan-Pelletier and Lindo, 2022, pp. 117-118</t>
    <phoneticPr fontId="2" type="noConversion"/>
  </si>
  <si>
    <t>321.11 ± 85.96 μm
(n = 9)</t>
    <phoneticPr fontId="2" type="noConversion"/>
  </si>
  <si>
    <t>Measured range: 181–438 μm; published range: 320–535 μm.</t>
    <phoneticPr fontId="2" type="noConversion"/>
  </si>
  <si>
    <t>Liu, 2021, p. 153</t>
    <phoneticPr fontId="2" type="noConversion"/>
  </si>
  <si>
    <r>
      <rPr>
        <i/>
        <sz val="11"/>
        <color theme="1"/>
        <rFont val="Times New Roman"/>
        <family val="1"/>
      </rPr>
      <t>Epidamaeus</t>
    </r>
    <r>
      <rPr>
        <sz val="11"/>
        <color theme="1"/>
        <rFont val="Times New Roman"/>
        <family val="1"/>
      </rPr>
      <t xml:space="preserve"> was coded as having medium body-wall sclerotization. 
This coding was based on its light to medium brown body colour, the presence of reticulate scalps, well-developed spinae adnatae, and filamentous cerotegument on the body and legs, together with the description of damaeid mites as non-poronotic brachypyline mites that may bear concentric nymphal exuviae and often have dense, conspicuous cerotegument covering the body and setae (Li and Li, 1989; Walter et al., 2014; Liu, 2021; Behan-Pelletier and Lindo, 2022).</t>
    </r>
    <phoneticPr fontId="2" type="noConversion"/>
  </si>
  <si>
    <t>Li and Li, 1989, pp. 319-321;
Walter et al., 2014, pp. 163, 177, 189;
Liu, 2021, p. 153;
Behan-Pelletier and Lindo, 2022, p. 115</t>
    <phoneticPr fontId="2" type="noConversion"/>
  </si>
  <si>
    <r>
      <t xml:space="preserve">Maraun et al. (2019) noted that reproductive mode has been documented for nine species within the genus </t>
    </r>
    <r>
      <rPr>
        <i/>
        <sz val="11"/>
        <color theme="1"/>
        <rFont val="Times New Roman"/>
        <family val="1"/>
      </rPr>
      <t>Epidamaeus</t>
    </r>
    <r>
      <rPr>
        <sz val="11"/>
        <color theme="1"/>
        <rFont val="Times New Roman"/>
        <family val="1"/>
      </rPr>
      <t>, and these species reproduce sexually; this evidence suggests predominantly sexual reproduction at the genus level.</t>
    </r>
    <phoneticPr fontId="2" type="noConversion"/>
  </si>
  <si>
    <t>Walter et al., 2014, pp. 177, 192;
Maraun et al., 2019;
Behan-Pelletier and Lindo, 2022, pp. 115, 116</t>
    <phoneticPr fontId="2" type="noConversion"/>
  </si>
  <si>
    <r>
      <rPr>
        <i/>
        <sz val="11"/>
        <color theme="1"/>
        <rFont val="Times New Roman"/>
        <family val="1"/>
      </rPr>
      <t>Epidamaeus</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</si>
  <si>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 153;
Behan-Pelletier and Lindo, 2022, p. 115</t>
    <phoneticPr fontId="2" type="noConversion"/>
  </si>
  <si>
    <r>
      <rPr>
        <i/>
        <sz val="11"/>
        <color theme="1"/>
        <rFont val="Times New Roman"/>
        <family val="1"/>
      </rPr>
      <t>Epidamaeus</t>
    </r>
    <r>
      <rPr>
        <sz val="11"/>
        <color theme="1"/>
        <rFont val="Times New Roman"/>
        <family val="1"/>
      </rPr>
      <t xml:space="preserve"> is usually monodactylous, with pretarsi bearing a single claw (Liu, 2021).</t>
    </r>
    <phoneticPr fontId="2" type="noConversion"/>
  </si>
  <si>
    <r>
      <rPr>
        <i/>
        <sz val="11"/>
        <color theme="1"/>
        <rFont val="Times New Roman"/>
        <family val="1"/>
      </rPr>
      <t xml:space="preserve">Epidamaeus </t>
    </r>
    <r>
      <rPr>
        <sz val="11"/>
        <color theme="1"/>
        <rFont val="Times New Roman"/>
        <family val="1"/>
      </rPr>
      <t>was provisionally coded as intermediate at the genus level because its reported species show moderate developmental time (55–136 days) and lifespan (230–300 days), while gravid females are reported to carry multiple large eggs, indicating relatively high reproductive output and mixed life-history characteristics rather than a clearly slow strategy (Walter et al., 2014; Behan-Pelletier and Lindo, 2022; Pfingstl and Schatz, 2021).</t>
    </r>
    <phoneticPr fontId="2" type="noConversion"/>
  </si>
  <si>
    <t>Walter et al., 2014, pp. 177-178, 190, 192, 195-196;
Pfingstl and Schatz, 2021;
Behan-Pelletier and Lindo, 2022, pp. 119-120</t>
    <phoneticPr fontId="2" type="noConversion"/>
  </si>
  <si>
    <t>Maraun et al. (2023) reported 24 publicly available stable isotope datasets for 13 species in Damaeidae, indicating multiple feeding strategies within the family; however, after recalculating mean isotope values at the family level, we used the recalculated Damaeidae mean as a proxy and provisionally coded the genus Epidamaeus as a fungal feeder.
In addition, gut contents include fungal hyphae and fragments of organic matter, and most available evidence supports fungivory in this family (Walter et al., 2014; Behan-Pelletier and Lindo, 2022).</t>
    <phoneticPr fontId="2" type="noConversion"/>
  </si>
  <si>
    <t>Walter et al., 2014, pp. 177, 190, 193, 196-197;
Behan-Pelletier and Lindo, 2022, pp. 115, 119-120;
Maraun et al., 2023</t>
    <phoneticPr fontId="2" type="noConversion"/>
  </si>
  <si>
    <t>469.78 ± 72.38 μm
(n = 9)</t>
    <phoneticPr fontId="2" type="noConversion"/>
  </si>
  <si>
    <t>Measured range: 378–570 μm; published range: 420–520 μm</t>
    <phoneticPr fontId="2" type="noConversion"/>
  </si>
  <si>
    <t xml:space="preserve">Liu, 2021, pp. 150-151 
</t>
    <phoneticPr fontId="2" type="noConversion"/>
  </si>
  <si>
    <t>275.33 ± 39.26 μm
(n = 9)</t>
    <phoneticPr fontId="2" type="noConversion"/>
  </si>
  <si>
    <t>Measured range: 215–334 μm; published range: 265–290 μm</t>
    <phoneticPr fontId="2" type="noConversion"/>
  </si>
  <si>
    <t xml:space="preserve">Liu, 2021, pp. 150-151 </t>
    <phoneticPr fontId="2" type="noConversion"/>
  </si>
  <si>
    <r>
      <rPr>
        <i/>
        <sz val="11"/>
        <color theme="1"/>
        <rFont val="Times New Roman"/>
        <family val="1"/>
      </rPr>
      <t>Belba</t>
    </r>
    <r>
      <rPr>
        <sz val="11"/>
        <color theme="1"/>
        <rFont val="Times New Roman"/>
        <family val="1"/>
      </rPr>
      <t xml:space="preserve"> was coded as having medium body-wall sclerotization. 
This coding was based on its light to medium brown body colour, the presence of scalps, and the occurrence of dense, conspicuous cerotegument and adherent organic debris on the body surface, as described in the reference materials and supported by the photographed specimens (Liu, 2021; Li and Li, 1989; Behan-Pelletier and Lindo, 2022; Walter et al., 2014).</t>
    </r>
    <phoneticPr fontId="2" type="noConversion"/>
  </si>
  <si>
    <t>Li and Li, 1989, pp. 319-321;
Walter et al., 2014, pp. 163, 167;
Liu, 2021, pp. 150-151;
Behan-Pelletier and Lindo, 2022, p. 115</t>
    <phoneticPr fontId="2" type="noConversion"/>
  </si>
  <si>
    <r>
      <t xml:space="preserve">Maraun et al. (2019) noted that reproductive mode has been documented for three species within the genus </t>
    </r>
    <r>
      <rPr>
        <i/>
        <sz val="11"/>
        <color theme="1"/>
        <rFont val="Times New Roman"/>
        <family val="1"/>
      </rPr>
      <t>Belba</t>
    </r>
    <r>
      <rPr>
        <sz val="11"/>
        <color theme="1"/>
        <rFont val="Times New Roman"/>
        <family val="1"/>
      </rPr>
      <t>, and these species reproduce sexually; this evidence suggests predominantly sexual reproduction at the genus level.</t>
    </r>
    <phoneticPr fontId="2" type="noConversion"/>
  </si>
  <si>
    <t xml:space="preserve">
Maraun et al., 2019</t>
    <phoneticPr fontId="2" type="noConversion"/>
  </si>
  <si>
    <r>
      <rPr>
        <i/>
        <sz val="11"/>
        <color theme="1"/>
        <rFont val="Times New Roman"/>
        <family val="1"/>
      </rPr>
      <t>Belba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</si>
  <si>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pp. 150-151;
Behan-Pelletier and Lindo, 2022, p. 115</t>
    <phoneticPr fontId="2" type="noConversion"/>
  </si>
  <si>
    <r>
      <rPr>
        <i/>
        <sz val="11"/>
        <color theme="1"/>
        <rFont val="Times New Roman"/>
        <family val="1"/>
      </rPr>
      <t>Belba</t>
    </r>
    <r>
      <rPr>
        <sz val="11"/>
        <color theme="1"/>
        <rFont val="Times New Roman"/>
        <family val="1"/>
      </rPr>
      <t xml:space="preserve"> is usually monodactylous, with pretarsi bearing a single claw (Liu, 2021).</t>
    </r>
    <phoneticPr fontId="2" type="noConversion"/>
  </si>
  <si>
    <r>
      <rPr>
        <i/>
        <sz val="11"/>
        <color theme="1"/>
        <rFont val="Times New Roman"/>
        <family val="1"/>
      </rPr>
      <t>Belba</t>
    </r>
    <r>
      <rPr>
        <sz val="11"/>
        <color theme="1"/>
        <rFont val="Times New Roman"/>
        <family val="1"/>
      </rPr>
      <t xml:space="preserve"> was provisionally coded as intermediate at the genus level because its reported species B. corynopus shows variable developmental time (63–327 days), while gravid females are reported to carry only one or two large eggs, together indicating relatively low reproductive output but not a clearly slow life-history strategy (Walter et al., 2014; Pfingstl and Schatz, 2021).</t>
    </r>
    <phoneticPr fontId="2" type="noConversion"/>
  </si>
  <si>
    <t>Walter et al., 2014, p. 168;
Pfingstl and Schatz, 2021</t>
    <phoneticPr fontId="2" type="noConversion"/>
  </si>
  <si>
    <r>
      <t xml:space="preserve">Maraun et al. (2023) reported 24 publicly available stable isotope datasets for 13 species in Damaeidae, indicating multiple feeding strategies within the family; however, after recalculating mean isotope values at the family level, we used the recalculated Damaeidae mean as a proxy and provisionally coded </t>
    </r>
    <r>
      <rPr>
        <i/>
        <sz val="11"/>
        <color theme="1"/>
        <rFont val="Times New Roman"/>
        <family val="1"/>
      </rPr>
      <t>Belba</t>
    </r>
    <r>
      <rPr>
        <sz val="11"/>
        <color theme="1"/>
        <rFont val="Times New Roman"/>
        <family val="1"/>
      </rPr>
      <t xml:space="preserve"> as a fungal feeder.</t>
    </r>
    <phoneticPr fontId="2" type="noConversion"/>
  </si>
  <si>
    <t>Behan-Pelletier and Lindo, 2022, p. 115;
Maraun et al., 2023</t>
    <phoneticPr fontId="2" type="noConversion"/>
  </si>
  <si>
    <t>304.09 ± 58.25 μm
(n = 11)</t>
    <phoneticPr fontId="2" type="noConversion"/>
  </si>
  <si>
    <t>Measured range: 212–385 μm; published range: 245–375 μm</t>
    <phoneticPr fontId="2" type="noConversion"/>
  </si>
  <si>
    <t>Walter et al., 2014, p. 248;
Liu, 2021, p. 169;
Behan-Pelletier and Lindo, 2022, p. 140</t>
    <phoneticPr fontId="2" type="noConversion"/>
  </si>
  <si>
    <t>203.91 ± 34.35 μm
(n = 11)</t>
    <phoneticPr fontId="2" type="noConversion"/>
  </si>
  <si>
    <t>Measured range: 151–246 μm; published range: 165–250 μm</t>
    <phoneticPr fontId="2" type="noConversion"/>
  </si>
  <si>
    <t>Liu, 2021, p. 169</t>
    <phoneticPr fontId="2" type="noConversion"/>
  </si>
  <si>
    <r>
      <rPr>
        <i/>
        <sz val="11"/>
        <color theme="1"/>
        <rFont val="Times New Roman"/>
        <family val="1"/>
      </rPr>
      <t xml:space="preserve">Cultroribula </t>
    </r>
    <r>
      <rPr>
        <sz val="11"/>
        <color theme="1"/>
        <rFont val="Times New Roman"/>
        <family val="1"/>
      </rPr>
      <t>was provisionally coded as having medium body-wall sclerotization. 
This coding was based on the yellowish-brown to brown body colour, the distinct dorsosejugal scissure and relatively compact body form observed in the photographed specimen (Li and Li, 1989; Liu, 2021; Behan-Pelletier and Lindo, 2022).</t>
    </r>
    <phoneticPr fontId="2" type="noConversion"/>
  </si>
  <si>
    <t>Li and Li, 1989, p. 309;
Liu, 2021, p. 169;
Behan-Pelletier and Lindo, 2022, p. 139</t>
    <phoneticPr fontId="2" type="noConversion"/>
  </si>
  <si>
    <r>
      <t xml:space="preserve">Maraun et al. (2019) noted that reproductive mode has been documented for six species within the genus </t>
    </r>
    <r>
      <rPr>
        <i/>
        <sz val="11"/>
        <color theme="1"/>
        <rFont val="Times New Roman"/>
        <family val="1"/>
      </rPr>
      <t>Cultroribula</t>
    </r>
    <r>
      <rPr>
        <sz val="11"/>
        <color theme="1"/>
        <rFont val="Times New Roman"/>
        <family val="1"/>
      </rPr>
      <t>, and these species are parthenogenetic; this evidence suggests predominantly parthenogenetic reproduction at the genus level.</t>
    </r>
    <phoneticPr fontId="2" type="noConversion"/>
  </si>
  <si>
    <t>humeral projection</t>
  </si>
  <si>
    <t>humeral_projection</t>
    <phoneticPr fontId="2" type="noConversion"/>
  </si>
  <si>
    <r>
      <rPr>
        <i/>
        <sz val="11"/>
        <color theme="1"/>
        <rFont val="Times New Roman"/>
        <family val="1"/>
      </rPr>
      <t>Cultroribula</t>
    </r>
    <r>
      <rPr>
        <sz val="11"/>
        <color theme="1"/>
        <rFont val="Times New Roman"/>
        <family val="1"/>
      </rPr>
      <t xml:space="preserve"> bears well-developed humeral processes on the notogaster (Liu, 2021; Behan-Pelletier and Lindo, 2022), and was therefore coded as humeral projection.</t>
    </r>
    <phoneticPr fontId="2" type="noConversion"/>
  </si>
  <si>
    <t>Liu, 2021, p. 169;
Behan-Pelletier and Lindo, 2022, p. 139</t>
    <phoneticPr fontId="2" type="noConversion"/>
  </si>
  <si>
    <r>
      <rPr>
        <i/>
        <sz val="11"/>
        <color theme="1"/>
        <rFont val="Times New Roman"/>
        <family val="1"/>
      </rPr>
      <t xml:space="preserve">Cultroribula </t>
    </r>
    <r>
      <rPr>
        <sz val="11"/>
        <color theme="1"/>
        <rFont val="Times New Roman"/>
        <family val="1"/>
      </rPr>
      <t>is monodactylous, with pretarsi bearing a single claw (Li and Li, 1989; Walter et al., 2014; Liu, 2021).</t>
    </r>
    <phoneticPr fontId="2" type="noConversion"/>
  </si>
  <si>
    <t>Li and Li, 1989, p. 309;
Walter et al., 2014, p. 249;
Liu, 2021, p. 169</t>
    <phoneticPr fontId="2" type="noConversion"/>
  </si>
  <si>
    <r>
      <t xml:space="preserve">Maraun et al. (2023) reported two publicly available stable isotope datasets for two species within the genus </t>
    </r>
    <r>
      <rPr>
        <i/>
        <sz val="11"/>
        <color theme="1"/>
        <rFont val="Times New Roman"/>
        <family val="1"/>
      </rPr>
      <t>Cultroribula</t>
    </r>
    <r>
      <rPr>
        <sz val="11"/>
        <color theme="1"/>
        <rFont val="Times New Roman"/>
        <family val="1"/>
      </rPr>
      <t xml:space="preserve">; these datasets consistently indicate a fungal-feeding trophic guild, and we provisionally coded </t>
    </r>
    <r>
      <rPr>
        <i/>
        <sz val="11"/>
        <color theme="1"/>
        <rFont val="Times New Roman"/>
        <family val="1"/>
      </rPr>
      <t>Cultroribula</t>
    </r>
    <r>
      <rPr>
        <sz val="11"/>
        <color theme="1"/>
        <rFont val="Times New Roman"/>
        <family val="1"/>
      </rPr>
      <t xml:space="preserve"> as a fungal feeder.
</t>
    </r>
    <phoneticPr fontId="2" type="noConversion"/>
  </si>
  <si>
    <t>343.67 ± 48.54 μm
(n = 9)</t>
    <phoneticPr fontId="2" type="noConversion"/>
  </si>
  <si>
    <t>Measured range: 251–412 μm; published range: 400–900 μm</t>
    <phoneticPr fontId="2" type="noConversion"/>
  </si>
  <si>
    <t>Walter et al., 2014, p. 273;
Liu, 2021, p. 175;
Behan-Pelletier and Lindo, 2022, pp. 151-153</t>
    <phoneticPr fontId="2" type="noConversion"/>
  </si>
  <si>
    <t>196.67 ± 34.08 μm
(n = 9)</t>
    <phoneticPr fontId="2" type="noConversion"/>
  </si>
  <si>
    <t>Measured range: 129–228 μm; published range: 205–220 μm</t>
    <phoneticPr fontId="2" type="noConversion"/>
  </si>
  <si>
    <t>Liu, 2021, p. 175</t>
    <phoneticPr fontId="2" type="noConversion"/>
  </si>
  <si>
    <r>
      <rPr>
        <i/>
        <sz val="11"/>
        <color theme="1"/>
        <rFont val="Times New Roman"/>
        <family val="1"/>
      </rPr>
      <t>Carabodes</t>
    </r>
    <r>
      <rPr>
        <sz val="11"/>
        <color theme="1"/>
        <rFont val="Times New Roman"/>
        <family val="1"/>
      </rPr>
      <t xml:space="preserve"> was coded as having high body-wall sclerotization. 
This coding was based on the brown to black body colour, the genus being described as heavily sclerotized and strongly ornamented, the foveolate-reticulate body surface, and the central notogastral region bearing tubercles that may be coalesced into ridges or form an irregular pattern of longitudinal ridges (Li and Li, 1989; Walter et al., 2014; Liu, 2021; Behan-Pelletier and Lindo, 2022).</t>
    </r>
    <phoneticPr fontId="2" type="noConversion"/>
  </si>
  <si>
    <t>Li and Li, 1989, pp. 312-314;
Walter et al., 2014, p. 270;
Liu, 2021, pp. 174-175;
Behan-Pelletier and Lindo, 2022, pp. 150-153</t>
    <phoneticPr fontId="2" type="noConversion"/>
  </si>
  <si>
    <r>
      <t xml:space="preserve">Maraun et al. (2019) noted that reproductive mode has been documented for 13 species within the genus </t>
    </r>
    <r>
      <rPr>
        <i/>
        <sz val="11"/>
        <color theme="1"/>
        <rFont val="Times New Roman"/>
        <family val="1"/>
      </rPr>
      <t>Carabodes</t>
    </r>
    <r>
      <rPr>
        <sz val="11"/>
        <color theme="1"/>
        <rFont val="Times New Roman"/>
        <family val="1"/>
      </rPr>
      <t xml:space="preserve">, and these species reproduce sexually; this evidence suggests predominantly sexual reproduction at the genus level.
</t>
    </r>
    <phoneticPr fontId="2" type="noConversion"/>
  </si>
  <si>
    <t xml:space="preserve">
Walter et al., 2014, p. 274;
Maraun et al., 2019
</t>
    <phoneticPr fontId="2" type="noConversion"/>
  </si>
  <si>
    <t>humeral projection</t>
    <phoneticPr fontId="2" type="noConversion"/>
  </si>
  <si>
    <r>
      <rPr>
        <i/>
        <sz val="11"/>
        <color theme="1"/>
        <rFont val="Times New Roman"/>
        <family val="1"/>
      </rPr>
      <t>Carabodes</t>
    </r>
    <r>
      <rPr>
        <sz val="11"/>
        <color theme="1"/>
        <rFont val="Times New Roman"/>
        <family val="1"/>
      </rPr>
      <t xml:space="preserve"> bears humeral processes that appear triangular in dorsal view (Li and Li, 1989; Liu, 2021; Behan-Pelletier and Lindo, 2022), and was therefore coded as humeral projection.</t>
    </r>
    <phoneticPr fontId="2" type="noConversion"/>
  </si>
  <si>
    <t>Li and Li, 1989, pp. 312-314;
Liu, 2021, p. 175;
Behan-Pelletier and Lindo, 2022, p. 150</t>
    <phoneticPr fontId="2" type="noConversion"/>
  </si>
  <si>
    <r>
      <rPr>
        <i/>
        <sz val="11"/>
        <color theme="1"/>
        <rFont val="Times New Roman"/>
        <family val="1"/>
      </rPr>
      <t>Carabodes</t>
    </r>
    <r>
      <rPr>
        <sz val="11"/>
        <color theme="1"/>
        <rFont val="Times New Roman"/>
        <family val="1"/>
      </rPr>
      <t xml:space="preserve"> is monodactylous, with pretarsi bearing a single claw (Li and Li, 1989; Liu, 2021).</t>
    </r>
    <phoneticPr fontId="2" type="noConversion"/>
  </si>
  <si>
    <t>Li and Li, 1989, pp. 312-314;
Liu, 2021, p. 175</t>
    <phoneticPr fontId="2" type="noConversion"/>
  </si>
  <si>
    <r>
      <rPr>
        <i/>
        <sz val="11"/>
        <color theme="1"/>
        <rFont val="Times New Roman"/>
        <family val="1"/>
      </rPr>
      <t>Carabodes</t>
    </r>
    <r>
      <rPr>
        <sz val="11"/>
        <color theme="1"/>
        <rFont val="Times New Roman"/>
        <family val="1"/>
      </rPr>
      <t xml:space="preserve"> was provisionally coded as K-selected at the genus level because its reported species </t>
    </r>
    <r>
      <rPr>
        <i/>
        <sz val="11"/>
        <color theme="1"/>
        <rFont val="Times New Roman"/>
        <family val="1"/>
      </rPr>
      <t xml:space="preserve">C. labyrinthicus </t>
    </r>
    <r>
      <rPr>
        <sz val="11"/>
        <color theme="1"/>
        <rFont val="Times New Roman"/>
        <family val="1"/>
      </rPr>
      <t>has a long developmental time (730 days), while gravid females are reported to carry up to two large eggs, together indicating slow development, relatively low reproductive output, and low population turnover (Walter et al., 2014; Pfingstl and Schatz, 2021; Behan-Pelletier and Lindo, 2022).</t>
    </r>
    <phoneticPr fontId="2" type="noConversion"/>
  </si>
  <si>
    <t>Walter et al., 2014, pp. 274, 276;
Pfingstl and Schatz, 2021;
Behan-Pelletier and Lindo, 2022, p. 154</t>
    <phoneticPr fontId="2" type="noConversion"/>
  </si>
  <si>
    <r>
      <t>Maraun et al. (2023) reported 26 publicly available stable isotope datasets for 10 species within the genus</t>
    </r>
    <r>
      <rPr>
        <i/>
        <sz val="11"/>
        <color theme="1"/>
        <rFont val="Times New Roman"/>
        <family val="1"/>
      </rPr>
      <t xml:space="preserve"> Carabodes</t>
    </r>
    <r>
      <rPr>
        <sz val="11"/>
        <color theme="1"/>
        <rFont val="Times New Roman"/>
        <family val="1"/>
      </rPr>
      <t>, indicating multiple feeding strategies within the genus; however, after recalculating mean isotope values at the genus level, we provisionally coded</t>
    </r>
    <r>
      <rPr>
        <i/>
        <sz val="11"/>
        <color theme="1"/>
        <rFont val="Times New Roman"/>
        <family val="1"/>
      </rPr>
      <t xml:space="preserve"> Carabodes</t>
    </r>
    <r>
      <rPr>
        <sz val="11"/>
        <color theme="1"/>
        <rFont val="Times New Roman"/>
        <family val="1"/>
      </rPr>
      <t xml:space="preserve"> as a primary decomposer. 
In addition, gut boli include dematiaceous fungi and light-coloured material of unknown origin, and gut content analyses of adults showed fungivory with occasional fragments of moss and plant material, grass pollen, and arthropod fragments, supporting a decomposition-based diet with opportunistic feeding (Walter et al., 2014; Behan-Pelletier and Lindo, 2022).</t>
    </r>
    <phoneticPr fontId="2" type="noConversion"/>
  </si>
  <si>
    <t xml:space="preserve">Walter et al., 2014, pp. 274, 276;
Behan-Pelletier and Lindo, 2022, p. 154;
Maraun et al., 2023
</t>
    <phoneticPr fontId="2" type="noConversion"/>
  </si>
  <si>
    <t>228.20 ± 43.78 μm
(n = 5)</t>
    <phoneticPr fontId="2" type="noConversion"/>
  </si>
  <si>
    <t>Measured range: 178–289 μm; published range: 170–370 μm</t>
    <phoneticPr fontId="2" type="noConversion"/>
  </si>
  <si>
    <t>Walter et al., 2014, p. 300;
Liu, 2021, pp. 194-195;
Behan-Pelletier and Lindo, 2022, pp. 167-168</t>
    <phoneticPr fontId="2" type="noConversion"/>
  </si>
  <si>
    <t>126.00 ± 17.79 μm
(n = 5)</t>
    <phoneticPr fontId="2" type="noConversion"/>
  </si>
  <si>
    <t>Measured range: 109–153 μm; published range: 120–150 μm</t>
    <phoneticPr fontId="2" type="noConversion"/>
  </si>
  <si>
    <t>Liu, 2021, pp. 194-195</t>
    <phoneticPr fontId="2" type="noConversion"/>
  </si>
  <si>
    <r>
      <rPr>
        <i/>
        <sz val="11"/>
        <color theme="1"/>
        <rFont val="Times New Roman"/>
        <family val="1"/>
      </rPr>
      <t>Suctobelbella</t>
    </r>
    <r>
      <rPr>
        <sz val="11"/>
        <color theme="1"/>
        <rFont val="Times New Roman"/>
        <family val="1"/>
      </rPr>
      <t xml:space="preserve"> was coded as having medium body-wall sclerotization. 
This coding was based on the yellowish-brown body colour, the prodorsum being densely covered in small, rounded tubercles, and the anterior margin of the notogaster bearing 1–2 pairs of tubercles or cristae (Liu, 2021; Li and Li, 1989; Behan-Pelletier and Lindo, 2022; Walter et al., 2014).</t>
    </r>
    <phoneticPr fontId="2" type="noConversion"/>
  </si>
  <si>
    <t>Li and Li, 1989, p. 327;
Walter et al., 2014, pp. 294, 300;
Liu, 2021, pp. 194-195;
Behan-Pelletier and Lindo, 2022, p. 166</t>
    <phoneticPr fontId="2" type="noConversion"/>
  </si>
  <si>
    <r>
      <t xml:space="preserve">Maraun et al. (2019) noted that reproductive mode has been documented for 36 species within the genus </t>
    </r>
    <r>
      <rPr>
        <i/>
        <sz val="11"/>
        <color theme="1"/>
        <rFont val="Times New Roman"/>
        <family val="1"/>
      </rPr>
      <t>Suctobelbella</t>
    </r>
    <r>
      <rPr>
        <sz val="11"/>
        <color theme="1"/>
        <rFont val="Times New Roman"/>
        <family val="1"/>
      </rPr>
      <t>, and these species are parthenogenetic; this evidence suggests predominantly parthenogenetic reproduction at the genus level.</t>
    </r>
    <phoneticPr fontId="2" type="noConversion"/>
  </si>
  <si>
    <r>
      <rPr>
        <i/>
        <sz val="11"/>
        <color theme="1"/>
        <rFont val="Times New Roman"/>
        <family val="1"/>
      </rPr>
      <t>Suctobelbella</t>
    </r>
    <r>
      <rPr>
        <sz val="11"/>
        <color theme="1"/>
        <rFont val="Times New Roman"/>
        <family val="1"/>
      </rPr>
      <t xml:space="preserve"> bears two pairs of humeral processes on the notogaster (Liu, 2021), and was therefore coded as humeral projection.</t>
    </r>
    <phoneticPr fontId="2" type="noConversion"/>
  </si>
  <si>
    <r>
      <rPr>
        <i/>
        <sz val="11"/>
        <color theme="1"/>
        <rFont val="Times New Roman"/>
        <family val="1"/>
      </rPr>
      <t>Suctobelbella</t>
    </r>
    <r>
      <rPr>
        <sz val="11"/>
        <color theme="1"/>
        <rFont val="Times New Roman"/>
        <family val="1"/>
      </rPr>
      <t xml:space="preserve"> is monodactylous, with pretarsi bearing a single claw (Walter et al., 2014; Liu, 2021; Behan-Pelletier and Lindo, 2022).</t>
    </r>
    <phoneticPr fontId="2" type="noConversion"/>
  </si>
  <si>
    <t>Walter et al., 2014, pp. 300-301;
Liu, 2021, pp. 194-195;
Behan-Pelletier and Lindo, 2022, p. 166</t>
    <phoneticPr fontId="2" type="noConversion"/>
  </si>
  <si>
    <r>
      <t xml:space="preserve">Maraun et al. (2023) reported five publicly available stable isotope datasets for four species within the genus </t>
    </r>
    <r>
      <rPr>
        <i/>
        <sz val="11"/>
        <color theme="1"/>
        <rFont val="Times New Roman"/>
        <family val="1"/>
      </rPr>
      <t>Suctobelbella</t>
    </r>
    <r>
      <rPr>
        <sz val="11"/>
        <color theme="1"/>
        <rFont val="Times New Roman"/>
        <family val="1"/>
      </rPr>
      <t xml:space="preserve">, indicating multiple feeding strategies within the genus; however, after recalculating mean isotope values at the genus level, we provisionally coded </t>
    </r>
    <r>
      <rPr>
        <i/>
        <sz val="11"/>
        <color theme="1"/>
        <rFont val="Times New Roman"/>
        <family val="1"/>
      </rPr>
      <t>Suctobelbella</t>
    </r>
    <r>
      <rPr>
        <sz val="11"/>
        <color theme="1"/>
        <rFont val="Times New Roman"/>
        <family val="1"/>
      </rPr>
      <t xml:space="preserve"> as a fungal feeder.</t>
    </r>
    <phoneticPr fontId="2" type="noConversion"/>
  </si>
  <si>
    <t>431.60 ± 22.70 μm
(n = 5)</t>
    <phoneticPr fontId="2" type="noConversion"/>
  </si>
  <si>
    <t>Measured range: 406–462 μm; published range: 410–455 μm</t>
    <phoneticPr fontId="2" type="noConversion"/>
  </si>
  <si>
    <t>Walter et al., 2014, p. 298;
Liu, 2021, p. 193</t>
    <phoneticPr fontId="2" type="noConversion"/>
  </si>
  <si>
    <t>301.60 ± 17.38 μm
(n = 5)</t>
    <phoneticPr fontId="2" type="noConversion"/>
  </si>
  <si>
    <t>Measured range: 273–318 μm; published range: 305–310 μm</t>
    <phoneticPr fontId="2" type="noConversion"/>
  </si>
  <si>
    <t>Liu, 2021, p. 193</t>
    <phoneticPr fontId="2" type="noConversion"/>
  </si>
  <si>
    <r>
      <rPr>
        <i/>
        <sz val="11"/>
        <color theme="1"/>
        <rFont val="Times New Roman"/>
        <family val="1"/>
      </rPr>
      <t>Allosuctobelba</t>
    </r>
    <r>
      <rPr>
        <sz val="11"/>
        <color theme="1"/>
        <rFont val="Times New Roman"/>
        <family val="1"/>
      </rPr>
      <t xml:space="preserve"> was coded as having medium body-wall sclerotization. 
This coding was based on the yellowish-brown body colour and the presence of irregular tubercles, toothed or notched tubercles, and a generally granulate body surface described in the reference materials (Li and Li, 1989; Liu, 2021; Behan-Pelletier and Lindo, 2022).</t>
    </r>
    <phoneticPr fontId="2" type="noConversion"/>
  </si>
  <si>
    <t>Li and Li, 1989, p. 328;
Liu, 2021, p. 193;
Behan-Pelletier and Lindo, 2022, p. 166</t>
    <phoneticPr fontId="2" type="noConversion"/>
  </si>
  <si>
    <t>0 = sexual
1 = parthenogenetic</t>
    <phoneticPr fontId="2" type="noConversion"/>
  </si>
  <si>
    <r>
      <t xml:space="preserve">Maraun et al. (2019) noted that reproductive mode has been documented for two species within the genus </t>
    </r>
    <r>
      <rPr>
        <i/>
        <sz val="11"/>
        <color theme="1"/>
        <rFont val="Times New Roman"/>
        <family val="1"/>
      </rPr>
      <t>Allosuctobelba</t>
    </r>
    <r>
      <rPr>
        <sz val="11"/>
        <color theme="1"/>
        <rFont val="Times New Roman"/>
        <family val="1"/>
      </rPr>
      <t xml:space="preserve">, and these species reproduce sexually; this evidence suggests predominantly sexual reproduction at the genus level.
</t>
    </r>
    <phoneticPr fontId="2" type="noConversion"/>
  </si>
  <si>
    <t>none</t>
  </si>
  <si>
    <r>
      <rPr>
        <i/>
        <sz val="11"/>
        <color theme="1"/>
        <rFont val="Times New Roman"/>
        <family val="1"/>
      </rPr>
      <t>Allosuctobelba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</si>
  <si>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Allosuctobelba</t>
    </r>
    <r>
      <rPr>
        <sz val="11"/>
        <color theme="1"/>
        <rFont val="Times New Roman"/>
        <family val="1"/>
      </rPr>
      <t xml:space="preserve"> is monodactylous, with pretarsi bearing a single claw (Liu, 2021; Behan-Pelletier and Lindo, 2022).</t>
    </r>
    <phoneticPr fontId="2" type="noConversion"/>
  </si>
  <si>
    <t>Liu, 2021, p. 193;
Behan-Pelletier and Lindo, 2022, p. 166</t>
    <phoneticPr fontId="2" type="noConversion"/>
  </si>
  <si>
    <r>
      <t xml:space="preserve">Maraun et al. (2023) reported one publicly available stable isotope dataset for one species within the genus </t>
    </r>
    <r>
      <rPr>
        <i/>
        <sz val="11"/>
        <color theme="1"/>
        <rFont val="Times New Roman"/>
        <family val="1"/>
      </rPr>
      <t>Allosuctobelba</t>
    </r>
    <r>
      <rPr>
        <sz val="11"/>
        <color theme="1"/>
        <rFont val="Times New Roman"/>
        <family val="1"/>
      </rPr>
      <t xml:space="preserve">; this evidence indicates a primary decomposer trophic guild, and we provisionally coded </t>
    </r>
    <r>
      <rPr>
        <i/>
        <sz val="11"/>
        <color theme="1"/>
        <rFont val="Times New Roman"/>
        <family val="1"/>
      </rPr>
      <t>Allosuctobelba</t>
    </r>
    <r>
      <rPr>
        <sz val="11"/>
        <color theme="1"/>
        <rFont val="Times New Roman"/>
        <family val="1"/>
      </rPr>
      <t xml:space="preserve"> as a primary decomposer.</t>
    </r>
    <phoneticPr fontId="2" type="noConversion"/>
  </si>
  <si>
    <t>328.50 ± 26.65 μm
(n = 14)</t>
    <phoneticPr fontId="2" type="noConversion"/>
  </si>
  <si>
    <t>Measured range: 308–413 μm; published range: 315–400 μm</t>
    <phoneticPr fontId="2" type="noConversion"/>
  </si>
  <si>
    <t xml:space="preserve">Walter et al., 2014, p. 288;
Liu, 2021, p. 185 </t>
    <phoneticPr fontId="2" type="noConversion"/>
  </si>
  <si>
    <t>174.93 ± 12.90 μm
(n = 14)</t>
    <phoneticPr fontId="2" type="noConversion"/>
  </si>
  <si>
    <t>Measured range: 160–204 μm; published range: 162 μm</t>
    <phoneticPr fontId="2" type="noConversion"/>
  </si>
  <si>
    <t xml:space="preserve">Liu, 2021, p. 185 </t>
    <phoneticPr fontId="2" type="noConversion"/>
  </si>
  <si>
    <r>
      <rPr>
        <i/>
        <sz val="11"/>
        <color theme="1"/>
        <rFont val="Times New Roman"/>
        <family val="1"/>
      </rPr>
      <t>Multioppia</t>
    </r>
    <r>
      <rPr>
        <sz val="11"/>
        <color theme="1"/>
        <rFont val="Times New Roman"/>
        <family val="1"/>
      </rPr>
      <t xml:space="preserve"> was coded as having medium body-wall sclerotization. 
This coding was based on the light yellowish-brown body colour, the presence of saccules and an opisthonotal gland on the notogaster, and the reference description of the group as non-poronotic brachypyline mites (Li and Li, 1989; Liu, 2021; Behan-Pelletier and Lindo, 2022).</t>
    </r>
    <phoneticPr fontId="2" type="noConversion"/>
  </si>
  <si>
    <t>Li and Li, 1989, p. 343;
Liu, 2021, p. 185;
Behan-Pelletier and Lindo, 2022, pp. 157-159</t>
    <phoneticPr fontId="2" type="noConversion"/>
  </si>
  <si>
    <r>
      <t xml:space="preserve">Maraun et al. (2019) noted that reproductive mode has been documented for five species within the genus </t>
    </r>
    <r>
      <rPr>
        <i/>
        <sz val="11"/>
        <color theme="1"/>
        <rFont val="Times New Roman"/>
        <family val="1"/>
      </rPr>
      <t>Multioppia</t>
    </r>
    <r>
      <rPr>
        <sz val="11"/>
        <color theme="1"/>
        <rFont val="Times New Roman"/>
        <family val="1"/>
      </rPr>
      <t xml:space="preserve">, and these species reproduce sexually; this evidence suggests predominantly sexual reproduction at the genus level.
</t>
    </r>
    <phoneticPr fontId="2" type="noConversion"/>
  </si>
  <si>
    <r>
      <rPr>
        <i/>
        <sz val="11"/>
        <color theme="1"/>
        <rFont val="Times New Roman"/>
        <family val="1"/>
      </rPr>
      <t>Multioppia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</si>
  <si>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t>Liu, 2021, p. 185;
Behan-Pelletier and Lindo, 2022, pp. 157-159</t>
    <phoneticPr fontId="2" type="noConversion"/>
  </si>
  <si>
    <r>
      <rPr>
        <i/>
        <sz val="11"/>
        <color theme="1"/>
        <rFont val="Times New Roman"/>
        <family val="1"/>
      </rPr>
      <t>Multioppia</t>
    </r>
    <r>
      <rPr>
        <sz val="11"/>
        <color theme="1"/>
        <rFont val="Times New Roman"/>
        <family val="1"/>
      </rPr>
      <t xml:space="preserve"> is monodactylous, with pretarsi bearing a single claw (Liu, 2021; Behan-Pelletier and Lindo, 2022).</t>
    </r>
    <phoneticPr fontId="2" type="noConversion"/>
  </si>
  <si>
    <t>Liu, 2021, p. 185;
Behan-Pelletier and Lindo, 2022, p. 158</t>
    <phoneticPr fontId="2" type="noConversion"/>
  </si>
  <si>
    <t>r-selected
(1)</t>
    <phoneticPr fontId="2" type="noConversion"/>
  </si>
  <si>
    <r>
      <rPr>
        <i/>
        <sz val="11"/>
        <color theme="1"/>
        <rFont val="Times New Roman"/>
        <family val="1"/>
      </rPr>
      <t>Multioppia</t>
    </r>
    <r>
      <rPr>
        <sz val="11"/>
        <color theme="1"/>
        <rFont val="Times New Roman"/>
        <family val="1"/>
      </rPr>
      <t xml:space="preserve"> was provisionally coded as r-selected at the genus level because its reported species </t>
    </r>
    <r>
      <rPr>
        <i/>
        <sz val="11"/>
        <color theme="1"/>
        <rFont val="Times New Roman"/>
        <family val="1"/>
      </rPr>
      <t>M. bayoumii</t>
    </r>
    <r>
      <rPr>
        <sz val="11"/>
        <color theme="1"/>
        <rFont val="Times New Roman"/>
        <family val="1"/>
      </rPr>
      <t xml:space="preserve"> and </t>
    </r>
    <r>
      <rPr>
        <i/>
        <sz val="11"/>
        <color theme="1"/>
        <rFont val="Times New Roman"/>
        <family val="1"/>
      </rPr>
      <t>M. wilsoni</t>
    </r>
    <r>
      <rPr>
        <sz val="11"/>
        <color theme="1"/>
        <rFont val="Times New Roman"/>
        <family val="1"/>
      </rPr>
      <t xml:space="preserve"> show very short developmental time (18–31 and 16–23 days, respectively), while </t>
    </r>
    <r>
      <rPr>
        <i/>
        <sz val="11"/>
        <color theme="1"/>
        <rFont val="Times New Roman"/>
        <family val="1"/>
      </rPr>
      <t>M. wilsoni</t>
    </r>
    <r>
      <rPr>
        <sz val="11"/>
        <color theme="1"/>
        <rFont val="Times New Roman"/>
        <family val="1"/>
      </rPr>
      <t xml:space="preserve"> also has a very short generation time (25 days), indicating rapid development and high population turnover (Pfingstl and Schatz, 2021).</t>
    </r>
    <phoneticPr fontId="2" type="noConversion"/>
  </si>
  <si>
    <r>
      <t xml:space="preserve">Maraun et al. (2023) reported one publicly available stable isotope dataset for one species within the genus </t>
    </r>
    <r>
      <rPr>
        <i/>
        <sz val="11"/>
        <color theme="1"/>
        <rFont val="Times New Roman"/>
        <family val="1"/>
      </rPr>
      <t>Multioppia</t>
    </r>
    <r>
      <rPr>
        <sz val="11"/>
        <color theme="1"/>
        <rFont val="Times New Roman"/>
        <family val="1"/>
      </rPr>
      <t xml:space="preserve">; this evidence indicates a fungal-feeding trophic guild, and we provisionally coded </t>
    </r>
    <r>
      <rPr>
        <i/>
        <sz val="11"/>
        <color theme="1"/>
        <rFont val="Times New Roman"/>
        <family val="1"/>
      </rPr>
      <t>Multioppia</t>
    </r>
    <r>
      <rPr>
        <sz val="11"/>
        <color theme="1"/>
        <rFont val="Times New Roman"/>
        <family val="1"/>
      </rPr>
      <t xml:space="preserve"> as a fungal feeder. 
In addition, gut contents consist primarily of dark fungal hyphae, supporting fungal feeding (Walter et al., 2014).</t>
    </r>
    <phoneticPr fontId="2" type="noConversion"/>
  </si>
  <si>
    <t>Walter et al., 2014, p. 289;
Maraun et al., 2023</t>
    <phoneticPr fontId="2" type="noConversion"/>
  </si>
  <si>
    <t>180.12 ± 22.08 μm
(n = 17)</t>
    <phoneticPr fontId="2" type="noConversion"/>
  </si>
  <si>
    <t>Measured range: 122–221 μm; published range: 170–225 μm</t>
    <phoneticPr fontId="2" type="noConversion"/>
  </si>
  <si>
    <t xml:space="preserve">Liu, 2021, p. 184;
Behan-Pelletier and Lindo, 2022, p. 160
</t>
    <phoneticPr fontId="2" type="noConversion"/>
  </si>
  <si>
    <t>82.24 ± 13.73 μm
(n = 17)</t>
    <phoneticPr fontId="2" type="noConversion"/>
  </si>
  <si>
    <t>Measured range: 65–104 μm; published range: 52–55 μm</t>
    <phoneticPr fontId="2" type="noConversion"/>
  </si>
  <si>
    <t>Liu, 2021, p. 184</t>
    <phoneticPr fontId="2" type="noConversion"/>
  </si>
  <si>
    <r>
      <rPr>
        <i/>
        <sz val="11"/>
        <color theme="1"/>
        <rFont val="Times New Roman"/>
        <family val="1"/>
      </rPr>
      <t>Microppia</t>
    </r>
    <r>
      <rPr>
        <sz val="11"/>
        <color theme="1"/>
        <rFont val="Times New Roman"/>
        <family val="1"/>
      </rPr>
      <t xml:space="preserve"> was coded as having medium body-wall sclerotization. 
This coding was based on the light yellowish-brown body colour and the presence of sclerotized apophyses running from the dorsosejugal scissure to the basal part of the prodorsum, together with the reference description of the group as non-poronotic brachypyline mites (Liu, 2021; Li and Li, 1989; Behan-Pelletier and Lindo, 2022).</t>
    </r>
    <phoneticPr fontId="2" type="noConversion"/>
  </si>
  <si>
    <t xml:space="preserve">Li and Li, 1989, p. 338;
Liu, 2021, p. 184;
Behan-Pelletier and Lindo, 2022, pp. 157-158
</t>
    <phoneticPr fontId="2" type="noConversion"/>
  </si>
  <si>
    <r>
      <t xml:space="preserve">Maraun et al. (2019) noted that reproductive mode has been documented for only one species within the genus </t>
    </r>
    <r>
      <rPr>
        <i/>
        <sz val="11"/>
        <color theme="1"/>
        <rFont val="Times New Roman"/>
        <family val="1"/>
      </rPr>
      <t>Microppia</t>
    </r>
    <r>
      <rPr>
        <sz val="11"/>
        <color theme="1"/>
        <rFont val="Times New Roman"/>
        <family val="1"/>
      </rPr>
      <t>, and that species is parthenogenetic; this limited evidence suggests predominantly parthenogenetic reproduction at the genus level.</t>
    </r>
    <phoneticPr fontId="2" type="noConversion"/>
  </si>
  <si>
    <r>
      <rPr>
        <i/>
        <sz val="11"/>
        <color theme="1"/>
        <rFont val="Times New Roman"/>
        <family val="1"/>
      </rPr>
      <t>Microppia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</si>
  <si>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Microppia</t>
    </r>
    <r>
      <rPr>
        <sz val="11"/>
        <color theme="1"/>
        <rFont val="Times New Roman"/>
        <family val="1"/>
      </rPr>
      <t xml:space="preserve"> is monodactylous, with pretarsi bearing a single claw (Liu, 2021; Behan-Pelletier and Lindo, 2022).</t>
    </r>
    <phoneticPr fontId="2" type="noConversion"/>
  </si>
  <si>
    <t>Liu, 2021, p. 184;
Behan-Pelletier and Lindo, 2022, p. 158</t>
    <phoneticPr fontId="2" type="noConversion"/>
  </si>
  <si>
    <r>
      <rPr>
        <i/>
        <sz val="11"/>
        <color theme="1"/>
        <rFont val="Times New Roman"/>
        <family val="1"/>
      </rPr>
      <t>Microppia</t>
    </r>
    <r>
      <rPr>
        <sz val="11"/>
        <color theme="1"/>
        <rFont val="Times New Roman"/>
        <family val="1"/>
      </rPr>
      <t xml:space="preserve"> was provisionally coded as r-selected at the genus level because available evidence from Oppiidae indicates generally short developmental time (often 11–60 days) and short generation time in several species (e.g. 14–54 days or less), despite variation in lifespan-related traits among taxa; taken together, this evidence suggests rapid development and relatively high population turnover, and supports a provisional r-selected assignment for </t>
    </r>
    <r>
      <rPr>
        <i/>
        <sz val="11"/>
        <color theme="1"/>
        <rFont val="Times New Roman"/>
        <family val="1"/>
      </rPr>
      <t>Microppia</t>
    </r>
    <r>
      <rPr>
        <sz val="11"/>
        <color theme="1"/>
        <rFont val="Times New Roman"/>
        <family val="1"/>
      </rPr>
      <t xml:space="preserve"> (Pfingstl and Schatz, 2021).</t>
    </r>
    <phoneticPr fontId="2" type="noConversion"/>
  </si>
  <si>
    <r>
      <t xml:space="preserve">Maraun et al. (2023) reported three publicly available stable isotope datasets for one species within the genus </t>
    </r>
    <r>
      <rPr>
        <i/>
        <sz val="11"/>
        <color theme="1"/>
        <rFont val="Times New Roman"/>
        <family val="1"/>
      </rPr>
      <t>Microppia</t>
    </r>
    <r>
      <rPr>
        <sz val="11"/>
        <color theme="1"/>
        <rFont val="Times New Roman"/>
        <family val="1"/>
      </rPr>
      <t xml:space="preserve">; these datasets consistently indicate a predatory trophic guild, and we provisionally coded </t>
    </r>
    <r>
      <rPr>
        <i/>
        <sz val="11"/>
        <color theme="1"/>
        <rFont val="Times New Roman"/>
        <family val="1"/>
      </rPr>
      <t>Microppia</t>
    </r>
    <r>
      <rPr>
        <sz val="11"/>
        <color theme="1"/>
        <rFont val="Times New Roman"/>
        <family val="1"/>
      </rPr>
      <t xml:space="preserve"> as a predator.</t>
    </r>
    <phoneticPr fontId="2" type="noConversion"/>
  </si>
  <si>
    <t>255.87 ± 33.87 μm
(n = 23)</t>
    <phoneticPr fontId="2" type="noConversion"/>
  </si>
  <si>
    <t>Measured range: 217–355 μm; published range: 220–395 μm.</t>
    <phoneticPr fontId="2" type="noConversion"/>
  </si>
  <si>
    <t>Walter et al., 2014, pp. 290-291;
Liu, 2021, p. 187;
Behan-Pelletier and Lindo, 2022, p. 161</t>
    <phoneticPr fontId="2" type="noConversion"/>
  </si>
  <si>
    <t>135.26 ± 21.29 μm
(n = 23)</t>
    <phoneticPr fontId="2" type="noConversion"/>
  </si>
  <si>
    <t>Measured range: 112–174 μm; published range: 130–132 μm.</t>
    <phoneticPr fontId="2" type="noConversion"/>
  </si>
  <si>
    <t>Liu, 2021, p. 187</t>
    <phoneticPr fontId="2" type="noConversion"/>
  </si>
  <si>
    <r>
      <rPr>
        <i/>
        <sz val="11"/>
        <color theme="1"/>
        <rFont val="Times New Roman"/>
        <family val="1"/>
      </rPr>
      <t>Oppiella</t>
    </r>
    <r>
      <rPr>
        <sz val="11"/>
        <color theme="1"/>
        <rFont val="Times New Roman"/>
        <family val="1"/>
      </rPr>
      <t xml:space="preserve"> was coded as having medium body-wall sclerotization.
This coding was based on the light yellowish-brown body colour and the presence of sclerotized apophyses running from the dorsosejugal scissure to the basal part of the prodorsum, together with the reference description of the group as non-poronotic Brachypylina (Li and Li, 1989;  Liu, 2021; Behan-Pelletier and Lindo, 2022).</t>
    </r>
    <phoneticPr fontId="2" type="noConversion"/>
  </si>
  <si>
    <t>Li and Li, 1989, p. 339;
Liu, 2021, p. 187;
Behan-Pelletier and Lindo, 2022, pp. 157-159</t>
    <phoneticPr fontId="2" type="noConversion"/>
  </si>
  <si>
    <r>
      <t xml:space="preserve">Maraun et al. (2019) noted that reproductive mode has been documented for five species within the genus </t>
    </r>
    <r>
      <rPr>
        <i/>
        <sz val="11"/>
        <color theme="1"/>
        <rFont val="Times New Roman"/>
        <family val="1"/>
      </rPr>
      <t>Oppiella</t>
    </r>
    <r>
      <rPr>
        <sz val="11"/>
        <color theme="1"/>
        <rFont val="Times New Roman"/>
        <family val="1"/>
      </rPr>
      <t xml:space="preserve">, spanning both sexual and parthenogenetic reproduction; this evidence suggests mixed reproductive modes at the genus level. However, because microscopic identification indicated that </t>
    </r>
    <r>
      <rPr>
        <i/>
        <sz val="11"/>
        <color theme="1"/>
        <rFont val="Times New Roman"/>
        <family val="1"/>
      </rPr>
      <t>Oppiella nova</t>
    </r>
    <r>
      <rPr>
        <sz val="11"/>
        <color theme="1"/>
        <rFont val="Times New Roman"/>
        <family val="1"/>
      </rPr>
      <t xml:space="preserve"> was the dominant species in our material, and this species is parthenogenetic, we coded the present sample as parthenogenetic.</t>
    </r>
    <phoneticPr fontId="2" type="noConversion"/>
  </si>
  <si>
    <t xml:space="preserve">
Maraun et al., 2019;
Behan-Pelletier and Lindo, 2022, pp. 157-158</t>
    <phoneticPr fontId="2" type="noConversion"/>
  </si>
  <si>
    <r>
      <rPr>
        <i/>
        <sz val="11"/>
        <color theme="1"/>
        <rFont val="Times New Roman"/>
        <family val="1"/>
      </rPr>
      <t>Oppiella</t>
    </r>
    <r>
      <rPr>
        <sz val="11"/>
        <color theme="1"/>
        <rFont val="Times New Roman"/>
        <family val="1"/>
      </rPr>
      <t xml:space="preserve"> was coded as none. 
No pteromorphs or humeral processes were reported in published descriptions, and none were observed under microscopic examination.</t>
    </r>
    <phoneticPr fontId="2" type="noConversion"/>
  </si>
  <si>
    <r>
      <rPr>
        <i/>
        <sz val="11"/>
        <color theme="1"/>
        <rFont val="Times New Roman"/>
        <family val="1"/>
      </rPr>
      <t>Oppiella</t>
    </r>
    <r>
      <rPr>
        <sz val="11"/>
        <color theme="1"/>
        <rFont val="Times New Roman"/>
        <family val="1"/>
      </rPr>
      <t xml:space="preserve"> is monodactylous, with pretarsi bearing a single claw (Liu, 2021; Behan-Pelletier and Lindo, 2022).</t>
    </r>
    <phoneticPr fontId="2" type="noConversion"/>
  </si>
  <si>
    <t>Liu, 2021, p. 187;
Behan-Pelletier and Lindo, 2022, p. 158</t>
    <phoneticPr fontId="2" type="noConversion"/>
  </si>
  <si>
    <r>
      <rPr>
        <i/>
        <sz val="11"/>
        <color theme="1"/>
        <rFont val="Times New Roman"/>
        <family val="1"/>
      </rPr>
      <t>Oppiella</t>
    </r>
    <r>
      <rPr>
        <sz val="11"/>
        <color theme="1"/>
        <rFont val="Times New Roman"/>
        <family val="1"/>
      </rPr>
      <t xml:space="preserve"> was provisionally coded as r-selected at the genus level because its reported species </t>
    </r>
    <r>
      <rPr>
        <i/>
        <sz val="11"/>
        <color theme="1"/>
        <rFont val="Times New Roman"/>
        <family val="1"/>
      </rPr>
      <t>O. nova</t>
    </r>
    <r>
      <rPr>
        <sz val="11"/>
        <color theme="1"/>
        <rFont val="Times New Roman"/>
        <family val="1"/>
      </rPr>
      <t xml:space="preserve"> has a short developmental time (23–60 days), generation time (30 days), total lifespan (60 days), and adult lifespan (30 days), indicating rapid development and high population turnover (Pfingstl and Schatz, 2021).</t>
    </r>
    <phoneticPr fontId="2" type="noConversion"/>
  </si>
  <si>
    <r>
      <t xml:space="preserve">Maraun et al. (2023) reported nine publicly available stable isotope datasets for five species within the genus </t>
    </r>
    <r>
      <rPr>
        <i/>
        <sz val="11"/>
        <color theme="1"/>
        <rFont val="Times New Roman"/>
        <family val="1"/>
      </rPr>
      <t>Oppiella</t>
    </r>
    <r>
      <rPr>
        <sz val="11"/>
        <color theme="1"/>
        <rFont val="Times New Roman"/>
        <family val="1"/>
      </rPr>
      <t xml:space="preserve">, suggesting trophic positions consistent with fungal feeding or predation; however, after recalculating mean isotope values at the genus level, we provisionally coded </t>
    </r>
    <r>
      <rPr>
        <i/>
        <sz val="11"/>
        <color theme="1"/>
        <rFont val="Times New Roman"/>
        <family val="1"/>
      </rPr>
      <t>Oppiella</t>
    </r>
    <r>
      <rPr>
        <sz val="11"/>
        <color theme="1"/>
        <rFont val="Times New Roman"/>
        <family val="1"/>
      </rPr>
      <t xml:space="preserve"> as a predator.</t>
    </r>
    <phoneticPr fontId="2" type="noConversion"/>
  </si>
  <si>
    <t>258.26 ± 27.36 μm
(n = 31)</t>
    <phoneticPr fontId="2" type="noConversion"/>
  </si>
  <si>
    <t>Measured range: 190–309 μm; published range: 240–345 μm</t>
    <phoneticPr fontId="2" type="noConversion"/>
  </si>
  <si>
    <t xml:space="preserve">Walter et al., 2014, p. 292;
Liu, 2021, p. 190 </t>
    <phoneticPr fontId="2" type="noConversion"/>
  </si>
  <si>
    <t>131.94 ± 16.93 μm
(n = 31)</t>
    <phoneticPr fontId="2" type="noConversion"/>
  </si>
  <si>
    <t>Measured range: 101–168 μm; published range: 110–158 μm</t>
    <phoneticPr fontId="2" type="noConversion"/>
  </si>
  <si>
    <t xml:space="preserve">Liu, 2021, p. 190 </t>
    <phoneticPr fontId="2" type="noConversion"/>
  </si>
  <si>
    <t>Ramusella was coded as having medium body-wall sclerotization. 
This coding was based on the yellowish-brown body colour, the notogaster without humeral apophysis, and the crista absent to weakly developed (Liu, 2021; Li and Li, 1989; Behan-Pelletier and Lindo, 2022).</t>
    <phoneticPr fontId="2" type="noConversion"/>
  </si>
  <si>
    <t>Li and Li, 1989, p. 341;
Liu, 2021, p. 190;
Behan-Pelletier and Lindo, 2022, p. 157, 159</t>
    <phoneticPr fontId="2" type="noConversion"/>
  </si>
  <si>
    <t>Maraun et al. (2019) noted that reproductive mode has been documented for nine species within the genus Ramusella, and these species reproduce sexually; this evidence suggests predominantly sexual reproduction at the genus level.</t>
    <phoneticPr fontId="2" type="noConversion"/>
  </si>
  <si>
    <t>Ramusella was coded as none. 
No pteromorphs or humeral processes were reported in published descriptions, and none were observed under microscopic examination.</t>
    <phoneticPr fontId="2" type="noConversion"/>
  </si>
  <si>
    <t>Ramusella is monodactylous, with pretarsi bearing a single claw (Behan-Pelletier and Lindo, 2022).</t>
    <phoneticPr fontId="2" type="noConversion"/>
  </si>
  <si>
    <t>Behan-Pelletier and Lindo, 2022, p. 158</t>
    <phoneticPr fontId="2" type="noConversion"/>
  </si>
  <si>
    <t>Ramusella was provisionally coded as r-selected at the genus level because available data for Oppiidae indicate short developmental time (11–60 days), short generation time (14–54 days), and a relatively short lifespan in some taxa; using this family-level evidence as a proxy suggests rapid development and high population turnover in Ramusella (Pfingstl and Schatz, 2021).</t>
    <phoneticPr fontId="2" type="noConversion"/>
  </si>
  <si>
    <t>Maraun et al. (2023) reported one publicly available stable isotope dataset for one species within the genus Ramusella; this evidence indicates a predatory trophic guild, and we provisionally coded Ramusella as a predator.</t>
    <phoneticPr fontId="2" type="noConversion"/>
  </si>
  <si>
    <t>307.61 ± 16.60 μm
(n = 28)</t>
    <phoneticPr fontId="2" type="noConversion"/>
  </si>
  <si>
    <t>Measured range: 279–341 μm; published range: 280–360 μm</t>
    <phoneticPr fontId="2" type="noConversion"/>
  </si>
  <si>
    <t>Walter et al., 2014, p. 310;
Liu, 2021, pp. 177-178;
Behan-Pelletier and Lindo, 2022, p. 170</t>
    <phoneticPr fontId="2" type="noConversion"/>
  </si>
  <si>
    <t>181.61 ± 8.23 μm
(n = 28)</t>
    <phoneticPr fontId="2" type="noConversion"/>
  </si>
  <si>
    <t>Measured range: 160–193 μm; published range: 175–190 μm</t>
    <phoneticPr fontId="2" type="noConversion"/>
  </si>
  <si>
    <t>Liu, 2021, pp. 177-178</t>
    <phoneticPr fontId="2" type="noConversion"/>
  </si>
  <si>
    <t>Tectocepheus was coded as having medium body-wall sclerotization. 
This coding was based on the yellowish-brown to brown body colour, the presence of cerotegumental granules, three pairs of notogastral depressions, and the description of the mites as small, without a dorsosejugal furrow or pteromorphs (Liu, 2021; Li and Li, 1989; Behan-Pelletier and Lindo, 2022; Walter et al., 2014).</t>
    <phoneticPr fontId="2" type="noConversion"/>
  </si>
  <si>
    <t>Li and Li, 1989, pp. 306-307;
Walter et al., 2014, p. 310;
Liu, 2021, pp. 177-178;
Behan-Pelletier and Lindo, 2022, p. 169</t>
    <phoneticPr fontId="2" type="noConversion"/>
  </si>
  <si>
    <t xml:space="preserve">Maraun et al. (2019) noted that reproductive mode has been documented for eight species within the genus Tectocepheus, and these species are parthenogenetic; this evidence suggests predominantly parthenogenetic reproduction at the genus level.
</t>
    <phoneticPr fontId="2" type="noConversion"/>
  </si>
  <si>
    <t xml:space="preserve">
Walter et al., 2014, pp. 311-312;
Maraun et al., 2019;
Behan-Pelletier and Lindo, 2022, p. 170</t>
    <phoneticPr fontId="2" type="noConversion"/>
  </si>
  <si>
    <t>Tectocepheus was coded as none. 
No pteromorphs or humeral processes were reported in published descriptions, and none were observed under microscopic examination.</t>
    <phoneticPr fontId="2" type="noConversion"/>
  </si>
  <si>
    <t>Walter et al., 2014, pp. 309, 312;
Liu, 2021, pp. 176-177</t>
    <phoneticPr fontId="2" type="noConversion"/>
  </si>
  <si>
    <t>Tectocepheus is monodactylous, with pretarsi bearing a single claw (Li and Li, 1989; Walter et al., 2014; Liu, 2021).</t>
    <phoneticPr fontId="2" type="noConversion"/>
  </si>
  <si>
    <t>Li and Li, 1989, p. 306;
Walter et al., 2014, p. 309;
Liu, 2021, pp. 177-178</t>
    <phoneticPr fontId="2" type="noConversion"/>
  </si>
  <si>
    <t>Tectocepheus was provisionally coded as intermediate at the genus level because its reported species T. sarekensis and T. velatus show moderate developmental time (57–102 days), while gravid females are reported to carry only up to two large eggs, together indicating relatively low reproductive output but not a clearly slow life-history strategy (Walter et al., 2014; Behan-Pelletier and Lindo, 2022; Pfingstl and Schatz, 2021).</t>
    <phoneticPr fontId="2" type="noConversion"/>
  </si>
  <si>
    <t>Walter et al., 2014, p. 312;
Behan-Pelletier and Lindo, 2022, p. 170;
Pfingstl and Schatz, 2021</t>
    <phoneticPr fontId="2" type="noConversion"/>
  </si>
  <si>
    <t>Maraun et al. (2023) reported 13 publicly available stable isotope datasets for five species within the genus Tectocepheus, indicating multiple feeding strategies within the genus; however, after recalculating mean isotope values at the genus level, we provisionally coded Tectocepheus as a primary decomposer. 
In addition, species of Tectocepheus are thought to be primarily detritus feeders, supporting a decomposition-based diet (Walter et al., 2014).</t>
    <phoneticPr fontId="2" type="noConversion"/>
  </si>
  <si>
    <t>Walter et al., 2014, pp. 311;
Maraun et al., 2023</t>
    <phoneticPr fontId="2" type="noConversion"/>
  </si>
  <si>
    <t>653.11 ± 66.81 μm
(n = 9)</t>
    <phoneticPr fontId="2" type="noConversion"/>
  </si>
  <si>
    <t>Measured range: 567–757 μm; published value: 640 μm.</t>
    <phoneticPr fontId="2" type="noConversion"/>
  </si>
  <si>
    <t>Liu, 2021, p. 197</t>
    <phoneticPr fontId="2" type="noConversion"/>
  </si>
  <si>
    <t>365.44 ± 27.10 μm
(n = 9)</t>
    <phoneticPr fontId="2" type="noConversion"/>
  </si>
  <si>
    <t>Measured range: 334–416 μm; published value: 395 μm.</t>
    <phoneticPr fontId="2" type="noConversion"/>
  </si>
  <si>
    <r>
      <rPr>
        <i/>
        <sz val="11"/>
        <color theme="1"/>
        <rFont val="Times New Roman"/>
        <family val="1"/>
      </rPr>
      <t>Scutovertex</t>
    </r>
    <r>
      <rPr>
        <sz val="11"/>
        <color theme="1"/>
        <rFont val="Times New Roman"/>
        <family val="1"/>
      </rPr>
      <t xml:space="preserve"> was coded as having high body-wall sclerotization. 
This coding was based on the dark brown body colour, the tuberculate to nodulate or reticulate integument, the presence of a lenticulus, and the body surface being described as covered with a reticulate cerotegument (Li and Li, 1989; Liu, 2021; Behan-Pelletier and Lindo, 2022).</t>
    </r>
    <phoneticPr fontId="2" type="noConversion"/>
  </si>
  <si>
    <t>Li and Li, 1989, pp. 359-360;
Liu, 2021, p. 197;
Behan-Pelletier and Lindo, 2022, p. 182</t>
    <phoneticPr fontId="2" type="noConversion"/>
  </si>
  <si>
    <r>
      <t xml:space="preserve">Maraun et al. (2019) noted that reproductive mode has been documented for only one species within the genus </t>
    </r>
    <r>
      <rPr>
        <i/>
        <sz val="11"/>
        <color theme="1"/>
        <rFont val="Times New Roman"/>
        <family val="1"/>
      </rPr>
      <t>Scutovertex</t>
    </r>
    <r>
      <rPr>
        <sz val="11"/>
        <color theme="1"/>
        <rFont val="Times New Roman"/>
        <family val="1"/>
      </rPr>
      <t>, and that species reproduces sexually; this limited evidence suggests predominantly sexual reproduction at the genus level.</t>
    </r>
    <phoneticPr fontId="2" type="noConversion"/>
  </si>
  <si>
    <r>
      <rPr>
        <i/>
        <sz val="11"/>
        <color theme="1"/>
        <rFont val="Times New Roman"/>
        <family val="1"/>
      </rPr>
      <t xml:space="preserve">Scutovertex </t>
    </r>
    <r>
      <rPr>
        <sz val="11"/>
        <color theme="1"/>
        <rFont val="Times New Roman"/>
        <family val="1"/>
      </rPr>
      <t>has the humeral region of the notogaster slightly expanded laterally to form a humeral process (Liu, 2021; Behan-Pelletier and Lindo, 2022), and was therefore coded as humeral projection.</t>
    </r>
    <phoneticPr fontId="2" type="noConversion"/>
  </si>
  <si>
    <t>Liu, 2021, p. 197;
Behan-Pelletier and Lindo, 2022, p. 182</t>
    <phoneticPr fontId="2" type="noConversion"/>
  </si>
  <si>
    <r>
      <rPr>
        <i/>
        <sz val="11"/>
        <color theme="1"/>
        <rFont val="Times New Roman"/>
        <family val="1"/>
      </rPr>
      <t>Scutovertex</t>
    </r>
    <r>
      <rPr>
        <sz val="11"/>
        <color theme="1"/>
        <rFont val="Times New Roman"/>
        <family val="1"/>
      </rPr>
      <t xml:space="preserve"> is tridactylous (Li and Li, 1989; Liu, 2021).</t>
    </r>
    <phoneticPr fontId="2" type="noConversion"/>
  </si>
  <si>
    <t>Li and Li, 1989, pp. 359-360;
Liu, 2021, pp. 197-198</t>
    <phoneticPr fontId="2" type="noConversion"/>
  </si>
  <si>
    <r>
      <rPr>
        <i/>
        <sz val="11"/>
        <color theme="1"/>
        <rFont val="Times New Roman"/>
        <family val="1"/>
      </rPr>
      <t>Scutovertex</t>
    </r>
    <r>
      <rPr>
        <sz val="11"/>
        <color theme="1"/>
        <rFont val="Times New Roman"/>
        <family val="1"/>
      </rPr>
      <t xml:space="preserve"> was provisionally coded as intermediate at the genus level because its reported species </t>
    </r>
    <r>
      <rPr>
        <i/>
        <sz val="11"/>
        <color theme="1"/>
        <rFont val="Times New Roman"/>
        <family val="1"/>
      </rPr>
      <t>S. perforatus</t>
    </r>
    <r>
      <rPr>
        <sz val="11"/>
        <color theme="1"/>
        <rFont val="Times New Roman"/>
        <family val="1"/>
      </rPr>
      <t xml:space="preserve"> and </t>
    </r>
    <r>
      <rPr>
        <i/>
        <sz val="11"/>
        <color theme="1"/>
        <rFont val="Times New Roman"/>
        <family val="1"/>
      </rPr>
      <t>S. sculptus</t>
    </r>
    <r>
      <rPr>
        <sz val="11"/>
        <color theme="1"/>
        <rFont val="Times New Roman"/>
        <family val="1"/>
      </rPr>
      <t xml:space="preserve"> show moderate developmental time (66–85 and 72–135 days, respectively), indicating neither a clearly fast nor clearly slow life-history strategy (Pfingstl and Schatz, 2021).</t>
    </r>
    <phoneticPr fontId="2" type="noConversion"/>
  </si>
  <si>
    <r>
      <t xml:space="preserve">Maraun et al. (2023) reported one publicly available stable isotope dataset for one species within the genus </t>
    </r>
    <r>
      <rPr>
        <i/>
        <sz val="11"/>
        <color theme="1"/>
        <rFont val="Times New Roman"/>
        <family val="1"/>
      </rPr>
      <t>Scutovertex</t>
    </r>
    <r>
      <rPr>
        <sz val="11"/>
        <color theme="1"/>
        <rFont val="Times New Roman"/>
        <family val="1"/>
      </rPr>
      <t xml:space="preserve">; this evidence indicates a primary decomposer trophic guild, and we provisionally coded </t>
    </r>
    <r>
      <rPr>
        <i/>
        <sz val="11"/>
        <color theme="1"/>
        <rFont val="Times New Roman"/>
        <family val="1"/>
      </rPr>
      <t>Scutovertex</t>
    </r>
    <r>
      <rPr>
        <sz val="11"/>
        <color theme="1"/>
        <rFont val="Times New Roman"/>
        <family val="1"/>
      </rPr>
      <t xml:space="preserve"> as a primary decomposer.</t>
    </r>
    <phoneticPr fontId="2" type="noConversion"/>
  </si>
  <si>
    <t>613.15 ± 131.86 μm
(n = 26)</t>
    <phoneticPr fontId="2" type="noConversion"/>
  </si>
  <si>
    <t>Measured range: 438–858 μm; published range: 450–1100 μm.</t>
    <phoneticPr fontId="2" type="noConversion"/>
  </si>
  <si>
    <t>Walter et al., 2014, pp. 337-339;
Liu, 2021, p. 225;
Behan-Pelletier and Lindo, 2022, pp. 183-184</t>
    <phoneticPr fontId="2" type="noConversion"/>
  </si>
  <si>
    <t>505.96 ± 5.91 μm
(n = 26)</t>
    <phoneticPr fontId="2" type="noConversion"/>
  </si>
  <si>
    <t>Measured range: 492–518 μm; published range: 500–510 μm.</t>
    <phoneticPr fontId="2" type="noConversion"/>
  </si>
  <si>
    <t>Liu, 2021, pp. 225</t>
    <phoneticPr fontId="2" type="noConversion"/>
  </si>
  <si>
    <r>
      <rPr>
        <i/>
        <sz val="11"/>
        <color theme="1"/>
        <rFont val="Times New Roman"/>
        <family val="1"/>
      </rPr>
      <t>Eupelops</t>
    </r>
    <r>
      <rPr>
        <sz val="11"/>
        <color theme="1"/>
        <rFont val="Times New Roman"/>
        <family val="1"/>
      </rPr>
      <t xml:space="preserve"> was coded as having high body-wall sclerotization. 
This coding was based on the dark brown to black body colour, the presence of a distinct lenticulus and porose areas, and the strongly developed cerotegument, which has been described as thick and blocky, with irregular oval to circular cells, coarse and uneven ridges, and densely micropunctate ridges surrounding fairly uniform foveae in fully sclerotized adults (Li and Li, 1989; Walter et al., 2014; Liu, 2021; Behan-Pelletier and Lindo, 2022).</t>
    </r>
    <phoneticPr fontId="2" type="noConversion"/>
  </si>
  <si>
    <t>Li and Li, 1989, pp.397-401;
Walter et al., 2014, pp. 335-339;
Liu, 2021, p. 225;
Behan-Pelletier and Lindo, 2022, p. 183</t>
    <phoneticPr fontId="2" type="noConversion"/>
  </si>
  <si>
    <r>
      <t xml:space="preserve">Maraun et al. (2019) noted that reproductive mode has been documented for eight species within the genus </t>
    </r>
    <r>
      <rPr>
        <i/>
        <sz val="11"/>
        <color theme="1"/>
        <rFont val="Times New Roman"/>
        <family val="1"/>
      </rPr>
      <t>Eupelops</t>
    </r>
    <r>
      <rPr>
        <sz val="11"/>
        <color theme="1"/>
        <rFont val="Times New Roman"/>
        <family val="1"/>
      </rPr>
      <t>, and these species reproduce sexually; this evidence supports coding the genus as sexual.</t>
    </r>
    <phoneticPr fontId="2" type="noConversion"/>
  </si>
  <si>
    <t xml:space="preserve">
Maraun et al., 2019
</t>
    <phoneticPr fontId="2" type="noConversion"/>
  </si>
  <si>
    <t>movable pteromorph</t>
  </si>
  <si>
    <t>movable_pteromorph</t>
    <phoneticPr fontId="2" type="noConversion"/>
  </si>
  <si>
    <r>
      <rPr>
        <i/>
        <sz val="11"/>
        <color theme="1"/>
        <rFont val="Times New Roman"/>
        <family val="1"/>
      </rPr>
      <t xml:space="preserve">Eupelops </t>
    </r>
    <r>
      <rPr>
        <sz val="11"/>
        <color theme="1"/>
        <rFont val="Times New Roman"/>
        <family val="1"/>
      </rPr>
      <t>bears well-developed, movable pteromorphs, which may be present with or without a hinge (Li and Li, 1989; Walter et al., 2014; Liu, 2021; Behan-Pelletier and Lindo, 2022), and was therefore coded as movable pteromorph.</t>
    </r>
    <phoneticPr fontId="2" type="noConversion"/>
  </si>
  <si>
    <t>Li and Li, 1989, pp.397-401;
Walter et al., 2014, p. 335;
Liu, 2021, pp. 224-225;
Behan-Pelletier and Lindo, 2022, p. 183</t>
    <phoneticPr fontId="2" type="noConversion"/>
  </si>
  <si>
    <r>
      <rPr>
        <i/>
        <sz val="11"/>
        <color theme="1"/>
        <rFont val="Times New Roman"/>
        <family val="1"/>
      </rPr>
      <t>Eupelops</t>
    </r>
    <r>
      <rPr>
        <sz val="11"/>
        <color theme="1"/>
        <rFont val="Times New Roman"/>
        <family val="1"/>
      </rPr>
      <t xml:space="preserve"> is tridactylous (Li and Li, 1989; Walter et al., 2014; Liu, 2021).</t>
    </r>
    <phoneticPr fontId="2" type="noConversion"/>
  </si>
  <si>
    <t>Li and Li, 1989, pp.397-401;
Liu, 2021, p. 225;
Walter et al., 2014, pp. 335-336</t>
    <phoneticPr fontId="2" type="noConversion"/>
  </si>
  <si>
    <r>
      <rPr>
        <i/>
        <sz val="11"/>
        <color theme="1"/>
        <rFont val="Times New Roman"/>
        <family val="1"/>
      </rPr>
      <t>Eupelops</t>
    </r>
    <r>
      <rPr>
        <sz val="11"/>
        <color theme="1"/>
        <rFont val="Times New Roman"/>
        <family val="1"/>
      </rPr>
      <t xml:space="preserve"> was provisionally coded as intermediate at the genus level because its reported species </t>
    </r>
    <r>
      <rPr>
        <i/>
        <sz val="11"/>
        <color theme="1"/>
        <rFont val="Times New Roman"/>
        <family val="1"/>
      </rPr>
      <t>E. torulosus</t>
    </r>
    <r>
      <rPr>
        <sz val="11"/>
        <color theme="1"/>
        <rFont val="Times New Roman"/>
        <family val="1"/>
      </rPr>
      <t xml:space="preserve"> has a relatively long developmental time (180 days), suggesting slow development, but not a clearly defined slow life-history strategy in the absence of additional evidence on generation time or lifespan (Pfingstl and Schatz, 2021).</t>
    </r>
    <phoneticPr fontId="2" type="noConversion"/>
  </si>
  <si>
    <r>
      <t xml:space="preserve">Maraun et al. (2023) reported 12 publicly available stable isotope datasets for seven species within the genus </t>
    </r>
    <r>
      <rPr>
        <i/>
        <sz val="11"/>
        <color theme="1"/>
        <rFont val="Times New Roman"/>
        <family val="1"/>
      </rPr>
      <t>Eupelops</t>
    </r>
    <r>
      <rPr>
        <sz val="11"/>
        <color theme="1"/>
        <rFont val="Times New Roman"/>
        <family val="1"/>
      </rPr>
      <t xml:space="preserve">, suggesting trophic positions consistent with fungal feeding or primary decomposition; however, after recalculating mean isotope values at the genus level, we provisionally coded </t>
    </r>
    <r>
      <rPr>
        <i/>
        <sz val="11"/>
        <color theme="1"/>
        <rFont val="Times New Roman"/>
        <family val="1"/>
      </rPr>
      <t>Eupelops</t>
    </r>
    <r>
      <rPr>
        <sz val="11"/>
        <color theme="1"/>
        <rFont val="Times New Roman"/>
        <family val="1"/>
      </rPr>
      <t xml:space="preserve"> as a fungal feeder. 
In addition, gut content analyses of adults showed consumption of fungi and plant material, supporting fungal feeding (Behan-Pelletier and Lindo, 2022).</t>
    </r>
    <phoneticPr fontId="2" type="noConversion"/>
  </si>
  <si>
    <t>Behan-Pelletier and Lindo, 2022, p. 183;
Maraun et al., 2023</t>
    <phoneticPr fontId="2" type="noConversion"/>
  </si>
  <si>
    <t>641.20 ± 132.14 μm
(n = 5)</t>
    <phoneticPr fontId="2" type="noConversion"/>
  </si>
  <si>
    <t>Measured range: 492–786 μm; published range: 407–750 μm.</t>
    <phoneticPr fontId="2" type="noConversion"/>
  </si>
  <si>
    <t>Walter et al., 2014, pp. 355-356;
Liu, 2021, p. 230;
Behan-Pelletier and Lindo, 2022, p. 187</t>
    <phoneticPr fontId="2" type="noConversion"/>
  </si>
  <si>
    <t>381.60 ± 34.38 μm
(n = 5)</t>
    <phoneticPr fontId="2" type="noConversion"/>
  </si>
  <si>
    <t>Measured range: 341–421 μm; published range: 350–400 μm.</t>
    <phoneticPr fontId="2" type="noConversion"/>
  </si>
  <si>
    <t>Liu, 2021, p. 230</t>
    <phoneticPr fontId="2" type="noConversion"/>
  </si>
  <si>
    <r>
      <rPr>
        <i/>
        <sz val="11"/>
        <color theme="1"/>
        <rFont val="Times New Roman"/>
        <family val="1"/>
      </rPr>
      <t>Achipteria</t>
    </r>
    <r>
      <rPr>
        <sz val="11"/>
        <color theme="1"/>
        <rFont val="Times New Roman"/>
        <family val="1"/>
      </rPr>
      <t xml:space="preserve"> was coded as having high body-wall sclerotization. 
This coding was based on the brown to black body colour, the presence of clearly visible notogastral saccules, and the integument being described as pebbly, smooth and shiny, or covered in a dull, granular cerotegument (Li and Li, 1989; Walter et al., 2014; Ren, 2019; Liu, 2021; Behan-Pelletier and Lindo, 2022).</t>
    </r>
    <phoneticPr fontId="2" type="noConversion"/>
  </si>
  <si>
    <t>Li and Li, 1989, pp. 416-417;
Walter et al., 2014, pp. 353-355, 357;
Ren, 2019;
Liu, 2021, p. 230;
Behan-Pelletier and Lindo, 2022, pp. 186-187</t>
    <phoneticPr fontId="2" type="noConversion"/>
  </si>
  <si>
    <r>
      <t xml:space="preserve">Maraun et al. (2019) noted that reproductive mode has been documented for five species within the genus </t>
    </r>
    <r>
      <rPr>
        <i/>
        <sz val="11"/>
        <color theme="1"/>
        <rFont val="Times New Roman"/>
        <family val="1"/>
      </rPr>
      <t>Achipteria</t>
    </r>
    <r>
      <rPr>
        <sz val="11"/>
        <color theme="1"/>
        <rFont val="Times New Roman"/>
        <family val="1"/>
      </rPr>
      <t>, and these species reproduce sexually; this evidence supports coding the genus as sexual.</t>
    </r>
    <phoneticPr fontId="2" type="noConversion"/>
  </si>
  <si>
    <t xml:space="preserve">
Walter et al., 2014, pp. 357-358;
Ren, 2019;
Maraun et al., 2019</t>
    <phoneticPr fontId="2" type="noConversion"/>
  </si>
  <si>
    <t>fixed pteromorph</t>
  </si>
  <si>
    <t>fixed_pteromorph</t>
    <phoneticPr fontId="2" type="noConversion"/>
  </si>
  <si>
    <r>
      <rPr>
        <i/>
        <sz val="11"/>
        <color theme="1"/>
        <rFont val="Times New Roman"/>
        <family val="1"/>
      </rPr>
      <t>Achipteria</t>
    </r>
    <r>
      <rPr>
        <sz val="11"/>
        <color theme="1"/>
        <rFont val="Times New Roman"/>
        <family val="1"/>
      </rPr>
      <t xml:space="preserve"> bears anteriorly projecting pteromorphs forming an acute angle, with a long spur and a distal tooth on the pteromorph margin, and the pteromorphs lack a hinge (Li and Li, 1989; Walter et al., 2014; Liu, 2021; Behan-Pelletier and Lindo, 2022); it was therefore coded as fixed pteromorph.</t>
    </r>
    <phoneticPr fontId="2" type="noConversion"/>
  </si>
  <si>
    <t>Li and Li, 1989, pp. 416-417;
Walter et al., 2014, pp. 352, 354, 356, 358;
Ren, 2019;
Liu, 2021, p. 230; 
Behan-Pelletier and Lindo, 2022, p. 187</t>
    <phoneticPr fontId="2" type="noConversion"/>
  </si>
  <si>
    <r>
      <rPr>
        <i/>
        <sz val="11"/>
        <color theme="1"/>
        <rFont val="Times New Roman"/>
        <family val="1"/>
      </rPr>
      <t>Achipteria</t>
    </r>
    <r>
      <rPr>
        <sz val="11"/>
        <color theme="1"/>
        <rFont val="Times New Roman"/>
        <family val="1"/>
      </rPr>
      <t xml:space="preserve"> is tridactylous (Li and Li, 1989; Walter et al., 2014; Liu, 2021).</t>
    </r>
    <phoneticPr fontId="2" type="noConversion"/>
  </si>
  <si>
    <t>Li and Li, 1989, pp. 416-417;
Walter et al., 2014, pp. 335-336;
Ren, 2019;
Liu, 2021, p. 230</t>
    <phoneticPr fontId="2" type="noConversion"/>
  </si>
  <si>
    <r>
      <rPr>
        <i/>
        <sz val="11"/>
        <color theme="1"/>
        <rFont val="Times New Roman"/>
        <family val="1"/>
      </rPr>
      <t>Achipteria</t>
    </r>
    <r>
      <rPr>
        <sz val="11"/>
        <color theme="1"/>
        <rFont val="Times New Roman"/>
        <family val="1"/>
      </rPr>
      <t xml:space="preserve"> was provisionally coded as K-selected at the genus level because its reported species show relatively long life-history schedules, including a long generation time in </t>
    </r>
    <r>
      <rPr>
        <i/>
        <sz val="11"/>
        <color theme="1"/>
        <rFont val="Times New Roman"/>
        <family val="1"/>
      </rPr>
      <t>A. coleoptrata</t>
    </r>
    <r>
      <rPr>
        <sz val="11"/>
        <color theme="1"/>
        <rFont val="Times New Roman"/>
        <family val="1"/>
      </rPr>
      <t xml:space="preserve"> (730 days) and a long developmental time in </t>
    </r>
    <r>
      <rPr>
        <i/>
        <sz val="11"/>
        <color theme="1"/>
        <rFont val="Times New Roman"/>
        <family val="1"/>
      </rPr>
      <t>A. holomonensis</t>
    </r>
    <r>
      <rPr>
        <sz val="11"/>
        <color theme="1"/>
        <rFont val="Times New Roman"/>
        <family val="1"/>
      </rPr>
      <t xml:space="preserve"> (261 days), indicating slow development and low population turnover, despite a moderate clutch size in some females (Walter et al., 2014; Pfingstl and Schatz, 2021).</t>
    </r>
    <phoneticPr fontId="2" type="noConversion"/>
  </si>
  <si>
    <t>Walter et al., 2014, p. 358;
Pfingstl and Schatz, 2021</t>
    <phoneticPr fontId="2" type="noConversion"/>
  </si>
  <si>
    <r>
      <t xml:space="preserve">Maraun et al. (2023) reported seven publicly available stable isotope datasets for two species within the genus </t>
    </r>
    <r>
      <rPr>
        <i/>
        <sz val="11"/>
        <color theme="1"/>
        <rFont val="Times New Roman"/>
        <family val="1"/>
      </rPr>
      <t>Achipteria</t>
    </r>
    <r>
      <rPr>
        <sz val="11"/>
        <color theme="1"/>
        <rFont val="Times New Roman"/>
        <family val="1"/>
      </rPr>
      <t xml:space="preserve">; these datasets consistently indicate a primary decomposer trophic guild, and we provisionally coded </t>
    </r>
    <r>
      <rPr>
        <i/>
        <sz val="11"/>
        <color theme="1"/>
        <rFont val="Times New Roman"/>
        <family val="1"/>
      </rPr>
      <t>Achipteria</t>
    </r>
    <r>
      <rPr>
        <sz val="11"/>
        <color theme="1"/>
        <rFont val="Times New Roman"/>
        <family val="1"/>
      </rPr>
      <t xml:space="preserve"> as a primary decomposer. 
In addition, gut contents consist mostly of coarse granular material, suggesting feeding on decomposing vegetation, while some fungal hyphae and spores are visible, as well as apparent moss spores, supporting a decomposition-based diet (Walter et al., 2014; Behan-Pelletier and Lindo, 2022).</t>
    </r>
    <phoneticPr fontId="2" type="noConversion"/>
  </si>
  <si>
    <t>Walter et al., 2014, pp. 357-358;
Behan-Pelletier and Lindo, 2022, p. 188;
Maraun et al., 2023</t>
    <phoneticPr fontId="2" type="noConversion"/>
  </si>
  <si>
    <t>653.00 ± 88.95 μm
(n = 9)</t>
    <phoneticPr fontId="2" type="noConversion"/>
  </si>
  <si>
    <t>Measured range: 536–774 μm; published range: 450–900 μm.</t>
    <phoneticPr fontId="2" type="noConversion"/>
  </si>
  <si>
    <t>Walter et al., 2014, p. 431;
Liu, 2021, p. 211;
Behan-Pelletier and Lindo, 2022, p. 207</t>
    <phoneticPr fontId="2" type="noConversion"/>
  </si>
  <si>
    <t>310.56 ± 29.60 μm
(n = 9)</t>
    <phoneticPr fontId="2" type="noConversion"/>
  </si>
  <si>
    <t>Measured range: 272–357 μm; published range: 280–345 μm.</t>
    <phoneticPr fontId="2" type="noConversion"/>
  </si>
  <si>
    <t>Liu, 2021, p. 211</t>
    <phoneticPr fontId="2" type="noConversion"/>
  </si>
  <si>
    <r>
      <rPr>
        <i/>
        <sz val="11"/>
        <color theme="1"/>
        <rFont val="Times New Roman"/>
        <family val="1"/>
      </rPr>
      <t>Neoribates</t>
    </r>
    <r>
      <rPr>
        <sz val="11"/>
        <color theme="1"/>
        <rFont val="Times New Roman"/>
        <family val="1"/>
      </rPr>
      <t xml:space="preserve"> was coded as having medium body-wall sclerotization. 
This coding was based on the light brown to dark brown body colour, the presence of notogastral saccules, and the overall cuticular morphology, including the octotaxic system of four pairs of saccules and the undulate, anteriorly concave ventral margin of the pteromorph (Li and Li, 1989; Walter et al., 2014; Liu, 2021; Behan-Pelletier and Lindo, 2022).</t>
    </r>
    <phoneticPr fontId="2" type="noConversion"/>
  </si>
  <si>
    <t>Li and Li, 1989, p. 411;
Walter et al., 2014, p. 431;
Liu, 2021, p. 211;
Behan-Pelletier and Lindo, 2022, p. 207</t>
    <phoneticPr fontId="2" type="noConversion"/>
  </si>
  <si>
    <r>
      <t xml:space="preserve">Maraun et al. (2019) noted that reproductive mode has been documented for seven species within the genus </t>
    </r>
    <r>
      <rPr>
        <i/>
        <sz val="11"/>
        <color theme="1"/>
        <rFont val="Times New Roman"/>
        <family val="1"/>
      </rPr>
      <t>Neoribates</t>
    </r>
    <r>
      <rPr>
        <sz val="11"/>
        <color theme="1"/>
        <rFont val="Times New Roman"/>
        <family val="1"/>
      </rPr>
      <t xml:space="preserve">, and these species reproduce sexually; this evidence supports coding the genus as sexual.
</t>
    </r>
    <phoneticPr fontId="2" type="noConversion"/>
  </si>
  <si>
    <t xml:space="preserve">
Walter et al., 2014, p. 437;
Maraun et al., 2019</t>
    <phoneticPr fontId="2" type="noConversion"/>
  </si>
  <si>
    <r>
      <rPr>
        <i/>
        <sz val="11"/>
        <color theme="1"/>
        <rFont val="Times New Roman"/>
        <family val="1"/>
      </rPr>
      <t>Neoribates</t>
    </r>
    <r>
      <rPr>
        <sz val="11"/>
        <color theme="1"/>
        <rFont val="Times New Roman"/>
        <family val="1"/>
      </rPr>
      <t xml:space="preserve"> bears auriculate pteromorphs with a complete hinge, with the ventral margin of the pteromorph undulate (Li and Li, 1989; Walter et al., 2014; Liu, 2021; Behan-Pelletier and Lindo, 2022), and was therefore coded as movable pteromorph.</t>
    </r>
    <phoneticPr fontId="2" type="noConversion"/>
  </si>
  <si>
    <t>Li and Li, 1989, p. 411;
Walter et al., 2014, p. 430;
Liu, 2021, pp. 210-211;
Behan-Pelletier and Lindo, 2022, p. 207</t>
    <phoneticPr fontId="2" type="noConversion"/>
  </si>
  <si>
    <r>
      <rPr>
        <i/>
        <sz val="11"/>
        <color theme="1"/>
        <rFont val="Times New Roman"/>
        <family val="1"/>
      </rPr>
      <t>Neoribates</t>
    </r>
    <r>
      <rPr>
        <sz val="11"/>
        <color theme="1"/>
        <rFont val="Times New Roman"/>
        <family val="1"/>
      </rPr>
      <t xml:space="preserve"> is tridactylous (Li and Li, 1989; Liu, 2021).</t>
    </r>
    <phoneticPr fontId="2" type="noConversion"/>
  </si>
  <si>
    <t>Li and Li, 1989, p. 411;
Liu, 2021, p. 211</t>
    <phoneticPr fontId="2" type="noConversion"/>
  </si>
  <si>
    <r>
      <rPr>
        <i/>
        <sz val="11"/>
        <color theme="1"/>
        <rFont val="Times New Roman"/>
        <family val="1"/>
      </rPr>
      <t>Neoribates</t>
    </r>
    <r>
      <rPr>
        <sz val="11"/>
        <color theme="1"/>
        <rFont val="Times New Roman"/>
        <family val="1"/>
      </rPr>
      <t xml:space="preserve"> was provisionally coded as intermediate at the genus level because its reported species </t>
    </r>
    <r>
      <rPr>
        <i/>
        <sz val="11"/>
        <color theme="1"/>
        <rFont val="Times New Roman"/>
        <family val="1"/>
      </rPr>
      <t>N. gracilis</t>
    </r>
    <r>
      <rPr>
        <sz val="11"/>
        <color theme="1"/>
        <rFont val="Times New Roman"/>
        <family val="1"/>
      </rPr>
      <t xml:space="preserve"> shows a relatively short developmental time (31–53 days), but a prolonged adult longevity (730 days) and lifespan (&gt;730 days), while gravid females are reported to carry at least six eggs, together indicating mixed life-history characteristics rather than a clearly fast or slow strategy (Walter et al., 2014; Pfingstl and Schatz, 2021).</t>
    </r>
    <phoneticPr fontId="2" type="noConversion"/>
  </si>
  <si>
    <t>Walter et al., 2014, p. 437;
Pfingstl and Schatz, 2021</t>
    <phoneticPr fontId="2" type="noConversion"/>
  </si>
  <si>
    <r>
      <t xml:space="preserve">Maraun et al. (2023) reported one publicly available stable isotope dataset for one species within the genus </t>
    </r>
    <r>
      <rPr>
        <i/>
        <sz val="11"/>
        <color theme="1"/>
        <rFont val="Times New Roman"/>
        <family val="1"/>
      </rPr>
      <t>Neoribates</t>
    </r>
    <r>
      <rPr>
        <sz val="11"/>
        <color theme="1"/>
        <rFont val="Times New Roman"/>
        <family val="1"/>
      </rPr>
      <t xml:space="preserve">; this evidence indicates a fungal-feeding trophic guild, and we therefore provisionally coded </t>
    </r>
    <r>
      <rPr>
        <i/>
        <sz val="11"/>
        <color theme="1"/>
        <rFont val="Times New Roman"/>
        <family val="1"/>
      </rPr>
      <t>Neoribates</t>
    </r>
    <r>
      <rPr>
        <sz val="11"/>
        <color theme="1"/>
        <rFont val="Times New Roman"/>
        <family val="1"/>
      </rPr>
      <t xml:space="preserve"> as a fungal feeder.</t>
    </r>
    <phoneticPr fontId="2" type="noConversion"/>
  </si>
  <si>
    <t>630.00 ± 103.99 μm
(n = 10)</t>
    <phoneticPr fontId="2" type="noConversion"/>
  </si>
  <si>
    <t>Measured range: 502–776 μm; published range: 515–750 μm.</t>
    <phoneticPr fontId="2" type="noConversion"/>
  </si>
  <si>
    <t>Liu, 2021, p. 211;
Behan-Pelletier and Lindo, 2022, p. 207</t>
    <phoneticPr fontId="2" type="noConversion"/>
  </si>
  <si>
    <t>327.90 ± 9.07 μm
(n = 10)</t>
    <phoneticPr fontId="2" type="noConversion"/>
  </si>
  <si>
    <t>Measured range: 314–342 μm; published range: 320–335 μm.</t>
    <phoneticPr fontId="2" type="noConversion"/>
  </si>
  <si>
    <r>
      <rPr>
        <i/>
        <sz val="11"/>
        <color theme="1"/>
        <rFont val="Times New Roman"/>
        <family val="1"/>
      </rPr>
      <t>Protokalumma</t>
    </r>
    <r>
      <rPr>
        <sz val="11"/>
        <color theme="1"/>
        <rFont val="Times New Roman"/>
        <family val="1"/>
      </rPr>
      <t xml:space="preserve"> was coded as having medium body-wall sclerotization. 
This coding was based on the brown body colour and the overall cuticular morphology, including the presence of notogastral saccules and an opisthonotal gland, the octotaxic system of four pairs of saccules, and the convex ventral margin of the pteromorph (Li and Li, 1989; Liu, 2021; Behan-Pelletier and Lindo, 2022).</t>
    </r>
    <phoneticPr fontId="2" type="noConversion"/>
  </si>
  <si>
    <t>Li and Li, 1989, p. 411;
Liu, 2021, p. 211;
Behan-Pelletier and Lindo, 2022, p. 207</t>
    <phoneticPr fontId="2" type="noConversion"/>
  </si>
  <si>
    <r>
      <t xml:space="preserve">Maraun et al. (2019) noted that reproductive mode has been documented for only one species within the genus </t>
    </r>
    <r>
      <rPr>
        <i/>
        <sz val="11"/>
        <color theme="1"/>
        <rFont val="Times New Roman"/>
        <family val="1"/>
      </rPr>
      <t>Protokalumma</t>
    </r>
    <r>
      <rPr>
        <sz val="11"/>
        <color theme="1"/>
        <rFont val="Times New Roman"/>
        <family val="1"/>
      </rPr>
      <t>, and that species reproduces sexually; this limited evidence supports coding the genus as sexual.</t>
    </r>
    <phoneticPr fontId="2" type="noConversion"/>
  </si>
  <si>
    <r>
      <rPr>
        <i/>
        <sz val="11"/>
        <color theme="1"/>
        <rFont val="Times New Roman"/>
        <family val="1"/>
      </rPr>
      <t xml:space="preserve">Protokalumma </t>
    </r>
    <r>
      <rPr>
        <sz val="11"/>
        <color theme="1"/>
        <rFont val="Times New Roman"/>
        <family val="1"/>
      </rPr>
      <t>bears auriculate pteromorphs with a complete hinge, indicating that the pteromorphs are movable (Li and Li, 1989; Walter et al., 2014; Liu, 2021; Behan-Pelletier and Lindo, 2022), and was therefore coded as movable pteromorph.</t>
    </r>
    <phoneticPr fontId="2" type="noConversion"/>
  </si>
  <si>
    <t>Li and Li, 1989, p. 411;
Walter et al., 2014, p. 430;
Liu, 2021, p. 211;
Behan-Pelletier and Lindo, 2022, p. 207</t>
    <phoneticPr fontId="2" type="noConversion"/>
  </si>
  <si>
    <r>
      <rPr>
        <i/>
        <sz val="11"/>
        <color theme="1"/>
        <rFont val="Times New Roman"/>
        <family val="1"/>
      </rPr>
      <t>Protokalumma</t>
    </r>
    <r>
      <rPr>
        <sz val="11"/>
        <color theme="1"/>
        <rFont val="Times New Roman"/>
        <family val="1"/>
      </rPr>
      <t xml:space="preserve"> is tridactylous (Li and Li, 1989; Liu, 2021).</t>
    </r>
    <phoneticPr fontId="2" type="noConversion"/>
  </si>
  <si>
    <t>Li and Li, 1989, p. 411;
Liu, 2021, p. 212</t>
    <phoneticPr fontId="2" type="noConversion"/>
  </si>
  <si>
    <r>
      <t xml:space="preserve">Maraun et al. (2023) reported one publicly available stable isotope dataset for one species in the family Parakalummidae, indicating predominantly fungal feeding within the family; after recalculating mean isotope values at the family level, we used the recalculated Parakalummidae mean as a proxy and provisionally coded </t>
    </r>
    <r>
      <rPr>
        <i/>
        <sz val="11"/>
        <color theme="1"/>
        <rFont val="Times New Roman"/>
        <family val="1"/>
      </rPr>
      <t>Protokalumma</t>
    </r>
    <r>
      <rPr>
        <sz val="11"/>
        <color theme="1"/>
        <rFont val="Times New Roman"/>
        <family val="1"/>
      </rPr>
      <t xml:space="preserve"> as a fungal feeder.</t>
    </r>
    <phoneticPr fontId="2" type="noConversion"/>
  </si>
  <si>
    <t>451.43 ± 63.68 μm
(n = 7)</t>
    <phoneticPr fontId="2" type="noConversion"/>
  </si>
  <si>
    <t>Measured range: 362–538 μm; published range: 370–530 μm.</t>
    <phoneticPr fontId="2" type="noConversion"/>
  </si>
  <si>
    <t>Walter et al., 2014, p. 419;
Liu, 2021, p. 201;
Behan-Pelletier and Lindo, 2022, p. 205</t>
    <phoneticPr fontId="2" type="noConversion"/>
  </si>
  <si>
    <t>270.00 ± 22.57 μm
(n = 7)</t>
    <phoneticPr fontId="2" type="noConversion"/>
  </si>
  <si>
    <t>Measured range: 241–301 μm; published range: 245–295 μm.</t>
    <phoneticPr fontId="2" type="noConversion"/>
  </si>
  <si>
    <t>Liu, 2021, p. 201</t>
    <phoneticPr fontId="2" type="noConversion"/>
  </si>
  <si>
    <r>
      <rPr>
        <i/>
        <sz val="11"/>
        <color theme="1"/>
        <rFont val="Times New Roman"/>
        <family val="1"/>
      </rPr>
      <t>Oribatula</t>
    </r>
    <r>
      <rPr>
        <sz val="11"/>
        <color theme="1"/>
        <rFont val="Times New Roman"/>
        <family val="1"/>
      </rPr>
      <t xml:space="preserve"> was coded as having medium body-wall sclerotization. 
This coding was based on the yellow-brown to light yellow-brown body colour, the presence of notogastral porose areas, the notogaster being described as rugose, shiny and finely granular, or with microgranular plates, and the genus being characterized by 4 pairs of porose areas on the notogaster (Li and Li, 1989; Walter et al., 2014; Liu, 2021; Behan-Pelletier and Lindo, 2022).</t>
    </r>
    <phoneticPr fontId="2" type="noConversion"/>
  </si>
  <si>
    <t>Li and Li, 1989, pp. 356-357;
Walter et al., 2014, pp. 418-419;
Liu, 2021, p. 201;
Behan-Pelletier and Lindo, 2022, p. 203</t>
    <phoneticPr fontId="2" type="noConversion"/>
  </si>
  <si>
    <r>
      <t xml:space="preserve">Maraun et al. (2019) noted that reproductive mode has been documented for five species within the genus </t>
    </r>
    <r>
      <rPr>
        <i/>
        <sz val="11"/>
        <color theme="1"/>
        <rFont val="Times New Roman"/>
        <family val="1"/>
      </rPr>
      <t>Oribatula</t>
    </r>
    <r>
      <rPr>
        <sz val="11"/>
        <color theme="1"/>
        <rFont val="Times New Roman"/>
        <family val="1"/>
      </rPr>
      <t xml:space="preserve">, and these species reproduce sexually; this evidence supports coding the genus as sexual.
</t>
    </r>
    <phoneticPr fontId="2" type="noConversion"/>
  </si>
  <si>
    <t>Walter et al., 2014, p. 420</t>
    <phoneticPr fontId="2" type="noConversion"/>
  </si>
  <si>
    <r>
      <rPr>
        <i/>
        <sz val="11"/>
        <color theme="1"/>
        <rFont val="Times New Roman"/>
        <family val="1"/>
      </rPr>
      <t>Oribatula</t>
    </r>
    <r>
      <rPr>
        <sz val="11"/>
        <color theme="1"/>
        <rFont val="Times New Roman"/>
        <family val="1"/>
      </rPr>
      <t xml:space="preserve"> has pteromorphs reduced to a small shelf-like humeral process (Walter et al., 2014; Liu, 2021), and was therefore coded as humeral projection.</t>
    </r>
    <phoneticPr fontId="2" type="noConversion"/>
  </si>
  <si>
    <t>Walter et al., 2014, p. 418;
Liu, 2021, p. 201</t>
    <phoneticPr fontId="2" type="noConversion"/>
  </si>
  <si>
    <r>
      <rPr>
        <i/>
        <sz val="11"/>
        <color theme="1"/>
        <rFont val="Times New Roman"/>
        <family val="1"/>
      </rPr>
      <t>Oribatula</t>
    </r>
    <r>
      <rPr>
        <sz val="11"/>
        <color theme="1"/>
        <rFont val="Times New Roman"/>
        <family val="1"/>
      </rPr>
      <t xml:space="preserve"> is tridactylous (Li and Li, 1989; Walter et al., 2014; Liu, 2021).</t>
    </r>
    <phoneticPr fontId="2" type="noConversion"/>
  </si>
  <si>
    <t>Li and Li, 1989, pp. 356-357;
Walter et al., 2014, p. 418;
Liu, 2021, p. 201</t>
    <phoneticPr fontId="2" type="noConversion"/>
  </si>
  <si>
    <r>
      <rPr>
        <i/>
        <sz val="11"/>
        <color theme="1"/>
        <rFont val="Times New Roman"/>
        <family val="1"/>
      </rPr>
      <t xml:space="preserve">Oribatula </t>
    </r>
    <r>
      <rPr>
        <sz val="11"/>
        <color theme="1"/>
        <rFont val="Times New Roman"/>
        <family val="1"/>
      </rPr>
      <t>was provisionally coded as intermediate at the genus level because gravid females are reported to carry at least eight eggs, indicating that reproductive output is not particularly low, while direct evidence on developmental time, generation time, or lifespan is currently lacking (Walter et al., 2014).</t>
    </r>
    <phoneticPr fontId="2" type="noConversion"/>
  </si>
  <si>
    <r>
      <t xml:space="preserve">Maraun et al. (2023) reported nine publicly available stable isotope datasets for three species within the genus </t>
    </r>
    <r>
      <rPr>
        <i/>
        <sz val="11"/>
        <color theme="1"/>
        <rFont val="Times New Roman"/>
        <family val="1"/>
      </rPr>
      <t>Oribatula</t>
    </r>
    <r>
      <rPr>
        <sz val="11"/>
        <color theme="1"/>
        <rFont val="Times New Roman"/>
        <family val="1"/>
      </rPr>
      <t xml:space="preserve">; these datasets consistently indicate a fungal-feeding trophic guild, and we provisionally coded </t>
    </r>
    <r>
      <rPr>
        <i/>
        <sz val="11"/>
        <color theme="1"/>
        <rFont val="Times New Roman"/>
        <family val="1"/>
      </rPr>
      <t>Oribatula</t>
    </r>
    <r>
      <rPr>
        <sz val="11"/>
        <color theme="1"/>
        <rFont val="Times New Roman"/>
        <family val="1"/>
      </rPr>
      <t xml:space="preserve"> as a fungal feeder. 
In addition, gut contents typically consist of fungal hyphae and spores, supporting fungal feeding (Walter et al., 2014; Behan-Pelletier and Lindo, 2022).</t>
    </r>
    <phoneticPr fontId="2" type="noConversion"/>
  </si>
  <si>
    <t>Walter et al., 2014, p. 420;
Behan-Pelletier and Lindo, 2022, p. 205;
Maraun et al., 2023</t>
    <phoneticPr fontId="2" type="noConversion"/>
  </si>
  <si>
    <t>444.31 ± 81.93 μm
(n = 39)</t>
    <phoneticPr fontId="2" type="noConversion"/>
  </si>
  <si>
    <t>Measured range: 341–621 μm; published range: 370–670 μm.</t>
    <phoneticPr fontId="2" type="noConversion"/>
  </si>
  <si>
    <t>Walter et al., 2014, pp. 446-447;
Liu, 2021, pp. 207-209;
Behan-Pelletier and Lindo, 2022, p. 212</t>
    <phoneticPr fontId="2" type="noConversion"/>
  </si>
  <si>
    <t>277.36 ± 63.05 μm
(n = 39)</t>
    <phoneticPr fontId="2" type="noConversion"/>
  </si>
  <si>
    <t>Measured range: 175–407 μm; published range: 275–360 μm.</t>
    <phoneticPr fontId="2" type="noConversion"/>
  </si>
  <si>
    <t>Liu, 2021, pp. 207-209</t>
    <phoneticPr fontId="2" type="noConversion"/>
  </si>
  <si>
    <r>
      <rPr>
        <i/>
        <sz val="11"/>
        <color theme="1"/>
        <rFont val="Times New Roman"/>
        <family val="1"/>
      </rPr>
      <t>Scheloribates</t>
    </r>
    <r>
      <rPr>
        <sz val="11"/>
        <color theme="1"/>
        <rFont val="Times New Roman"/>
        <family val="1"/>
      </rPr>
      <t xml:space="preserve"> was coded as having medium body-wall sclerotization. 
This coding was based on the yellow-brown to dark brown body colour, the notogaster being described as finely granulate or with fine, branching longitudinal striations, and the presence of notogastral saccules (Li and Li, 1989; Walter et al., 2014; Liu, 2021; Behan-Pelletier and Lindo, 2022).</t>
    </r>
    <phoneticPr fontId="2" type="noConversion"/>
  </si>
  <si>
    <t>Li and Li, 1989, pp. 385-3387;
Walter et al., 2014, pp. 438, 444-446;
Liu, 2021, pp. 207-209;
Behan-Pelletier and Lindo, 2022, pp. 208, 212</t>
    <phoneticPr fontId="2" type="noConversion"/>
  </si>
  <si>
    <r>
      <t xml:space="preserve">Maraun et al. (2019) noted that reproductive mode has been documented for 26 species within the genus </t>
    </r>
    <r>
      <rPr>
        <i/>
        <sz val="11"/>
        <color theme="1"/>
        <rFont val="Times New Roman"/>
        <family val="1"/>
      </rPr>
      <t>Scheloribates</t>
    </r>
    <r>
      <rPr>
        <sz val="11"/>
        <color theme="1"/>
        <rFont val="Times New Roman"/>
        <family val="1"/>
      </rPr>
      <t xml:space="preserve">, and these species reproduce sexually; this evidence supports coding the genus as sexual.
</t>
    </r>
    <phoneticPr fontId="2" type="noConversion"/>
  </si>
  <si>
    <t>Walter et al., 2014, pp. 447-448;
Maraun et al., 2019</t>
    <phoneticPr fontId="2" type="noConversion"/>
  </si>
  <si>
    <r>
      <rPr>
        <i/>
        <sz val="11"/>
        <color theme="1"/>
        <rFont val="Times New Roman"/>
        <family val="1"/>
      </rPr>
      <t>Scheloribates</t>
    </r>
    <r>
      <rPr>
        <sz val="11"/>
        <color theme="1"/>
        <rFont val="Times New Roman"/>
        <family val="1"/>
      </rPr>
      <t xml:space="preserve"> bears distinct, immovable pteromorphs (Li and Li, 1989; Walter et al., 2014; Liu, 2021), and was therefore coded as fixed pteromorph.</t>
    </r>
    <phoneticPr fontId="2" type="noConversion"/>
  </si>
  <si>
    <t>Li and Li, 1989, pp. 385-387;
Walter et al., 2014, pp. 444-445;
Liu, 2021, pp. 206-210</t>
    <phoneticPr fontId="2" type="noConversion"/>
  </si>
  <si>
    <r>
      <rPr>
        <i/>
        <sz val="11"/>
        <color theme="1"/>
        <rFont val="Times New Roman"/>
        <family val="1"/>
      </rPr>
      <t>Scheloribates</t>
    </r>
    <r>
      <rPr>
        <sz val="11"/>
        <color theme="1"/>
        <rFont val="Times New Roman"/>
        <family val="1"/>
      </rPr>
      <t xml:space="preserve"> is tridactylous (Li and Li, 1989; Liu, 2021).</t>
    </r>
    <phoneticPr fontId="2" type="noConversion"/>
  </si>
  <si>
    <t>Li and Li, 1989, pp. 385-387;
Liu, 2021, pp. 207-210</t>
    <phoneticPr fontId="2" type="noConversion"/>
  </si>
  <si>
    <r>
      <rPr>
        <i/>
        <sz val="11"/>
        <color theme="1"/>
        <rFont val="Times New Roman"/>
        <family val="1"/>
      </rPr>
      <t xml:space="preserve">Scheloribates </t>
    </r>
    <r>
      <rPr>
        <sz val="11"/>
        <color theme="1"/>
        <rFont val="Times New Roman"/>
        <family val="1"/>
      </rPr>
      <t xml:space="preserve">was provisionally coded as r-selected at the genus level because its reported species generally show short developmental time and generation time, including 29–38 and 40–53 days in </t>
    </r>
    <r>
      <rPr>
        <i/>
        <sz val="11"/>
        <color theme="1"/>
        <rFont val="Times New Roman"/>
        <family val="1"/>
      </rPr>
      <t>S. decarinatus</t>
    </r>
    <r>
      <rPr>
        <sz val="11"/>
        <color theme="1"/>
        <rFont val="Times New Roman"/>
        <family val="1"/>
      </rPr>
      <t xml:space="preserve"> and 14–25 and 25–35 days in </t>
    </r>
    <r>
      <rPr>
        <i/>
        <sz val="11"/>
        <color theme="1"/>
        <rFont val="Times New Roman"/>
        <family val="1"/>
      </rPr>
      <t>S. nudus</t>
    </r>
    <r>
      <rPr>
        <sz val="11"/>
        <color theme="1"/>
        <rFont val="Times New Roman"/>
        <family val="1"/>
      </rPr>
      <t xml:space="preserve"> and </t>
    </r>
    <r>
      <rPr>
        <i/>
        <sz val="11"/>
        <color theme="1"/>
        <rFont val="Times New Roman"/>
        <family val="1"/>
      </rPr>
      <t>S. parabilis</t>
    </r>
    <r>
      <rPr>
        <sz val="11"/>
        <color theme="1"/>
        <rFont val="Times New Roman"/>
        <family val="1"/>
      </rPr>
      <t xml:space="preserve">, respectively; although some species such as </t>
    </r>
    <r>
      <rPr>
        <i/>
        <sz val="11"/>
        <color theme="1"/>
        <rFont val="Times New Roman"/>
        <family val="1"/>
      </rPr>
      <t>S. laevigatus</t>
    </r>
    <r>
      <rPr>
        <sz val="11"/>
        <color theme="1"/>
        <rFont val="Times New Roman"/>
        <family val="1"/>
      </rPr>
      <t xml:space="preserve"> show somewhat longer developmental schedules, the genus overall indicates rapid development and relatively high population turnover (Walter et al., 2014; Pfingstl and Schatz, 2021; Behan-Pelletier and Lindo, 2022).</t>
    </r>
    <phoneticPr fontId="2" type="noConversion"/>
  </si>
  <si>
    <t>Walter et al., 2014, pp. 447;
Pfingstl and Schatz, 2021;
Behan-Pelletier and Lindo, 2022, p. 213</t>
    <phoneticPr fontId="2" type="noConversion"/>
  </si>
  <si>
    <r>
      <t xml:space="preserve">Maraun et al. (2023) reported 15 publicly available stable isotope datasets for nine species within the genus </t>
    </r>
    <r>
      <rPr>
        <i/>
        <sz val="11"/>
        <color theme="1"/>
        <rFont val="Times New Roman"/>
        <family val="1"/>
      </rPr>
      <t>Scheloribates</t>
    </r>
    <r>
      <rPr>
        <sz val="11"/>
        <color theme="1"/>
        <rFont val="Times New Roman"/>
        <family val="1"/>
      </rPr>
      <t xml:space="preserve">, indicating multiple feeding strategies within the genus; however, after recalculating mean isotope values at the genus level, we provisionally coded </t>
    </r>
    <r>
      <rPr>
        <i/>
        <sz val="11"/>
        <color theme="1"/>
        <rFont val="Times New Roman"/>
        <family val="1"/>
      </rPr>
      <t>Scheloribates</t>
    </r>
    <r>
      <rPr>
        <sz val="11"/>
        <color theme="1"/>
        <rFont val="Times New Roman"/>
        <family val="1"/>
      </rPr>
      <t xml:space="preserve"> as a fungal feeder. 
In addition, gut contents include pigmented and unpigmented fungal hyphae, spores, bits of organic material, and the cuticle of small arthropods, supporting predominantly fungal feeding with occasional animal material (Walter et al., 2014; Behan-Pelletier and Lindo, 2022).</t>
    </r>
    <phoneticPr fontId="2" type="noConversion"/>
  </si>
  <si>
    <t>Walter et al., 2014, pp. 447-448;
Behan-Pelletier and Lindo, 2022, pp. 212-213;
Maraun et al., 2023</t>
    <phoneticPr fontId="2" type="noConversion"/>
  </si>
  <si>
    <t>614.56 ± 57.07 μm
(n = 9)</t>
    <phoneticPr fontId="2" type="noConversion"/>
  </si>
  <si>
    <t>Measured range: 528–692 μm.</t>
    <phoneticPr fontId="2" type="noConversion"/>
  </si>
  <si>
    <t>343.44 ± 38.78 μm
(n = 9)</t>
    <phoneticPr fontId="2" type="noConversion"/>
  </si>
  <si>
    <t>Measured range: 284–389 μm.</t>
    <phoneticPr fontId="2" type="noConversion"/>
  </si>
  <si>
    <r>
      <rPr>
        <i/>
        <sz val="11"/>
        <color theme="1"/>
        <rFont val="Times New Roman"/>
        <family val="1"/>
      </rPr>
      <t>Mochlozetes</t>
    </r>
    <r>
      <rPr>
        <sz val="11"/>
        <color theme="1"/>
        <rFont val="Times New Roman"/>
        <family val="1"/>
      </rPr>
      <t xml:space="preserve"> was coded as having medium body-wall sclerotization. 
This coding was based on the overall external morphology, including the presence of marginoventral porose areas, an octotaxic system often with more than four pairs of porose areas, porose areas with a ridged border, and the absence of a custodium (Li and Li, 1989; Behan-Pelletier and Lindo, 2022).</t>
    </r>
    <phoneticPr fontId="2" type="noConversion"/>
  </si>
  <si>
    <t xml:space="preserve">
Li and Li, 1989, pp. 376-377;
Behan-Pelletier and Lindo, 2022, pp. 201-202</t>
    <phoneticPr fontId="2" type="noConversion"/>
  </si>
  <si>
    <r>
      <t xml:space="preserve">Maraun et al. (2019) noted that reproductive mode has been documented for two species within the genus </t>
    </r>
    <r>
      <rPr>
        <i/>
        <sz val="11"/>
        <color theme="1"/>
        <rFont val="Times New Roman"/>
        <family val="1"/>
      </rPr>
      <t>Mochlozetes</t>
    </r>
    <r>
      <rPr>
        <sz val="11"/>
        <color theme="1"/>
        <rFont val="Times New Roman"/>
        <family val="1"/>
      </rPr>
      <t xml:space="preserve">, and these species reproduce sexually; this evidence supports coding the genus as sexual.
</t>
    </r>
    <phoneticPr fontId="2" type="noConversion"/>
  </si>
  <si>
    <t xml:space="preserve">
Maraun et al., 2019;
Behan-Pelletier and Lindo, 2022, p. 201
</t>
    <phoneticPr fontId="2" type="noConversion"/>
  </si>
  <si>
    <r>
      <rPr>
        <i/>
        <sz val="11"/>
        <color theme="1"/>
        <rFont val="Times New Roman"/>
        <family val="1"/>
      </rPr>
      <t>Mochlozetes</t>
    </r>
    <r>
      <rPr>
        <sz val="11"/>
        <color theme="1"/>
        <rFont val="Times New Roman"/>
        <family val="1"/>
      </rPr>
      <t xml:space="preserve"> bears pteromorphs without a hinge, which are therefore immovable (Li and Li, 1989; Behan-Pelletier and Lindo, 2022), and was therefore coded as fixed pteromorph.</t>
    </r>
    <phoneticPr fontId="2" type="noConversion"/>
  </si>
  <si>
    <t>Li and Li, 1989, pp. 376-377;
Behan-Pelletier and Lindo, 2022, p. 201</t>
    <phoneticPr fontId="2" type="noConversion"/>
  </si>
  <si>
    <r>
      <rPr>
        <i/>
        <sz val="11"/>
        <color theme="1"/>
        <rFont val="Times New Roman"/>
        <family val="1"/>
      </rPr>
      <t>Mochlozetes</t>
    </r>
    <r>
      <rPr>
        <sz val="11"/>
        <color theme="1"/>
        <rFont val="Times New Roman"/>
        <family val="1"/>
      </rPr>
      <t xml:space="preserve"> is tridactylous (Li and Li, 1989; Liu, 2021).</t>
    </r>
    <phoneticPr fontId="2" type="noConversion"/>
  </si>
  <si>
    <t>Li and Li, 1989, pp. 376-377</t>
    <phoneticPr fontId="2" type="noConversion"/>
  </si>
  <si>
    <r>
      <t xml:space="preserve">Maraun et al. (2023) reported two publicly available stable isotope datasets for two species in Mochlozetidae, indicating predominantly primary decomposition within the family; after recalculating mean isotope values at the family level, we used the recalculated Mochlozetidae mean as a proxy and provisionally coded </t>
    </r>
    <r>
      <rPr>
        <i/>
        <sz val="11"/>
        <color theme="1"/>
        <rFont val="Times New Roman"/>
        <family val="1"/>
      </rPr>
      <t>Mochlozetes</t>
    </r>
    <r>
      <rPr>
        <sz val="11"/>
        <color theme="1"/>
        <rFont val="Times New Roman"/>
        <family val="1"/>
      </rPr>
      <t xml:space="preserve"> as a primary decomposer.</t>
    </r>
    <phoneticPr fontId="2" type="noConversion"/>
  </si>
  <si>
    <t>579.40 ± 20.96 μm
(n = 10)</t>
    <phoneticPr fontId="2" type="noConversion"/>
  </si>
  <si>
    <t>Measured range: 545–608 μm; published range: 552–600 μm.</t>
    <phoneticPr fontId="2" type="noConversion"/>
  </si>
  <si>
    <t>374.10 ± 18.31 μm
(n = 10)</t>
    <phoneticPr fontId="2" type="noConversion"/>
  </si>
  <si>
    <r>
      <rPr>
        <i/>
        <sz val="11"/>
        <color theme="1"/>
        <rFont val="Times New Roman"/>
        <family val="1"/>
      </rPr>
      <t>Rostrozetes</t>
    </r>
    <r>
      <rPr>
        <sz val="11"/>
        <color theme="1"/>
        <rFont val="Times New Roman"/>
        <family val="1"/>
      </rPr>
      <t xml:space="preserve"> was coded as having medium body-wall sclerotization. 
This coding was based on the brown body colour, the presence of notogastral saccules and an opisthonotal gland, the octotaxic system of four pairs of very small saccules, and the dorsosejugal scissure with three arches (Li and Li, 1989; Liu, 2021; Behan-Pelletier and Lindo, 2022).</t>
    </r>
    <phoneticPr fontId="2" type="noConversion"/>
  </si>
  <si>
    <r>
      <rPr>
        <i/>
        <sz val="11"/>
        <color theme="1"/>
        <rFont val="Times New Roman"/>
        <family val="1"/>
      </rPr>
      <t>Rostrozetes</t>
    </r>
    <r>
      <rPr>
        <sz val="11"/>
        <color theme="1"/>
        <rFont val="Times New Roman"/>
        <family val="1"/>
      </rPr>
      <t xml:space="preserve"> bears anteriorly projecting pteromorphs forming an acute angle, which are fixed and immovable (Li and Li, 1989; Liu, 2021; Behan-Pelletier and Lindo, 2022), and was therefore coded as fixed pteromorph.</t>
    </r>
    <phoneticPr fontId="2" type="noConversion"/>
  </si>
  <si>
    <r>
      <rPr>
        <i/>
        <sz val="11"/>
        <color theme="1"/>
        <rFont val="Times New Roman"/>
        <family val="1"/>
      </rPr>
      <t>Rostrozetes</t>
    </r>
    <r>
      <rPr>
        <sz val="11"/>
        <color theme="1"/>
        <rFont val="Times New Roman"/>
        <family val="1"/>
      </rPr>
      <t xml:space="preserve"> is tridactylous (Li and Li, 1989; Liu, 2021).</t>
    </r>
    <phoneticPr fontId="2" type="noConversion"/>
  </si>
  <si>
    <r>
      <rPr>
        <i/>
        <sz val="11"/>
        <color theme="1"/>
        <rFont val="Times New Roman"/>
        <family val="1"/>
      </rPr>
      <t>Rostrozetes</t>
    </r>
    <r>
      <rPr>
        <sz val="11"/>
        <color theme="1"/>
        <rFont val="Times New Roman"/>
        <family val="1"/>
      </rPr>
      <t xml:space="preserve"> was provisionally coded as intermediate at the genus level because its reported species </t>
    </r>
    <r>
      <rPr>
        <i/>
        <sz val="11"/>
        <color theme="1"/>
        <rFont val="Times New Roman"/>
        <family val="1"/>
      </rPr>
      <t>R. ovulum</t>
    </r>
    <r>
      <rPr>
        <sz val="11"/>
        <color theme="1"/>
        <rFont val="Times New Roman"/>
        <family val="1"/>
      </rPr>
      <t xml:space="preserve"> shows a relatively short developmental time (35–45 days), but a moderate adult lifespan (90–210 days) and total lifespan (120–240 days), together indicating mixed life-history characteristics rather than a clearly fast or slow strategy (Pfingstl and Schatz, 2021).</t>
    </r>
    <phoneticPr fontId="2" type="noConversion"/>
  </si>
  <si>
    <r>
      <t xml:space="preserve">Maraun et al. (2023) reported two publicly available stable isotope datasets for one species within the genus </t>
    </r>
    <r>
      <rPr>
        <i/>
        <sz val="11"/>
        <color theme="1"/>
        <rFont val="Times New Roman"/>
        <family val="1"/>
      </rPr>
      <t>Rostrozetes</t>
    </r>
    <r>
      <rPr>
        <sz val="11"/>
        <color theme="1"/>
        <rFont val="Times New Roman"/>
        <family val="1"/>
      </rPr>
      <t xml:space="preserve">; these datasets consistently indicate a fungal-feeding trophic guild, and we provisionally coded </t>
    </r>
    <r>
      <rPr>
        <i/>
        <sz val="11"/>
        <color theme="1"/>
        <rFont val="Times New Roman"/>
        <family val="1"/>
      </rPr>
      <t>Rostrozetes</t>
    </r>
    <r>
      <rPr>
        <sz val="11"/>
        <color theme="1"/>
        <rFont val="Times New Roman"/>
        <family val="1"/>
      </rPr>
      <t xml:space="preserve"> as a fungal feeder.</t>
    </r>
    <phoneticPr fontId="2" type="noConversion"/>
  </si>
  <si>
    <t>427.33 ± 37.80 μm
(n = 6)</t>
    <phoneticPr fontId="2" type="noConversion"/>
  </si>
  <si>
    <t>Measured range: 375–459 μm; published range: 450–455 μm.</t>
    <phoneticPr fontId="2" type="noConversion"/>
  </si>
  <si>
    <t xml:space="preserve">Liu, 2021, p. 205
</t>
    <phoneticPr fontId="2" type="noConversion"/>
  </si>
  <si>
    <t>219.50 ± 12.00 μm
(n = 6)</t>
    <phoneticPr fontId="2" type="noConversion"/>
  </si>
  <si>
    <t>Measured range: 201–231 μm; published range: 225–230 μm.</t>
    <phoneticPr fontId="2" type="noConversion"/>
  </si>
  <si>
    <t>Liu, 2021, p. 205</t>
    <phoneticPr fontId="2" type="noConversion"/>
  </si>
  <si>
    <r>
      <rPr>
        <i/>
        <sz val="11"/>
        <color theme="1"/>
        <rFont val="Times New Roman"/>
        <family val="1"/>
      </rPr>
      <t>Incabates</t>
    </r>
    <r>
      <rPr>
        <sz val="11"/>
        <color theme="1"/>
        <rFont val="Times New Roman"/>
        <family val="1"/>
      </rPr>
      <t xml:space="preserve"> was coded as having medium body-wall sclerotization. 
This coding was based on the yellowish-brown body colour and the presence of notogastral saccules, an opisthonotal gland, and porose areas on the notogaster (Li and Li, 1989; Liu, 2021).</t>
    </r>
    <phoneticPr fontId="2" type="noConversion"/>
  </si>
  <si>
    <t>Li and Li, 1989, pp. 404-407;
Liu, 2021, p. 205</t>
    <phoneticPr fontId="2" type="noConversion"/>
  </si>
  <si>
    <t>Assigned according to explicit records of reproductive mode in the literature and direct microscopic evidence from the present material when literature evidence was unavailable.</t>
    <phoneticPr fontId="2" type="noConversion"/>
  </si>
  <si>
    <r>
      <rPr>
        <i/>
        <sz val="11"/>
        <color theme="1"/>
        <rFont val="Times New Roman"/>
        <family val="1"/>
      </rPr>
      <t>Incabates</t>
    </r>
    <r>
      <rPr>
        <sz val="11"/>
        <color theme="1"/>
        <rFont val="Times New Roman"/>
        <family val="1"/>
      </rPr>
      <t xml:space="preserve"> bears movable pteromorphs (Li and Li, 1989; Liu, 2021), and was therefore coded as movable pteromorph.</t>
    </r>
    <phoneticPr fontId="2" type="noConversion"/>
  </si>
  <si>
    <r>
      <rPr>
        <i/>
        <sz val="11"/>
        <color theme="1"/>
        <rFont val="Times New Roman"/>
        <family val="1"/>
      </rPr>
      <t>Incabates</t>
    </r>
    <r>
      <rPr>
        <sz val="11"/>
        <color theme="1"/>
        <rFont val="Times New Roman"/>
        <family val="1"/>
      </rPr>
      <t xml:space="preserve"> is tridactylous (Li and Li, 1989; Liu, 2021).</t>
    </r>
    <phoneticPr fontId="2" type="noConversion"/>
  </si>
  <si>
    <t>Haplozetidae was provisionally coded as intermediate at the family level because available data indicate variable developmental time (18–150 days), a generation time of about 123 days, and moderate to relatively long lifespan-related traits (adult lifespan 90–365 days; total lifespan 120–240 days), together suggesting mixed life-history characteristics rather than a clearly fast or slow strategy (Pfingstl and Schatz, 2021).</t>
    <phoneticPr fontId="2" type="noConversion"/>
  </si>
  <si>
    <r>
      <t xml:space="preserve">Maraun et al. (2023) reported seven publicly available stable isotope datasets for five species in Haplozetidae, indicating predominantly fungal feeding within the family; after recalculating mean isotope values at the family level, we used the recalculated Haplozetidae mean as a proxy and provisionally coded the genus </t>
    </r>
    <r>
      <rPr>
        <i/>
        <sz val="11"/>
        <color theme="1"/>
        <rFont val="Times New Roman"/>
        <family val="1"/>
      </rPr>
      <t>Incabates</t>
    </r>
    <r>
      <rPr>
        <sz val="11"/>
        <color theme="1"/>
        <rFont val="Times New Roman"/>
        <family val="1"/>
      </rPr>
      <t xml:space="preserve"> as a fungal feeder.</t>
    </r>
    <phoneticPr fontId="2" type="noConversion"/>
  </si>
  <si>
    <t>526.00 ± 133.97 μm
(n = 23)</t>
    <phoneticPr fontId="2" type="noConversion"/>
  </si>
  <si>
    <t>Measured range: 314–745 μm; published range: 375–580 μm.</t>
    <phoneticPr fontId="2" type="noConversion"/>
  </si>
  <si>
    <t>Walter et al., 2014, p. 399;
Liu, 2021, p. 206;
Behan-Pelletier and Lindo, 2022, p. 199</t>
    <phoneticPr fontId="2" type="noConversion"/>
  </si>
  <si>
    <t>431.91 ± 111.16 μm
(n = 23)</t>
    <phoneticPr fontId="2" type="noConversion"/>
  </si>
  <si>
    <t>Measured range: 223–542 μm; published range: 445–535 μm.</t>
    <phoneticPr fontId="2" type="noConversion"/>
  </si>
  <si>
    <t xml:space="preserve">Liu, 2021, p. 206 </t>
    <phoneticPr fontId="2" type="noConversion"/>
  </si>
  <si>
    <r>
      <rPr>
        <i/>
        <sz val="11"/>
        <color theme="1"/>
        <rFont val="Times New Roman"/>
        <family val="1"/>
      </rPr>
      <t>Peloribates</t>
    </r>
    <r>
      <rPr>
        <sz val="11"/>
        <color theme="1"/>
        <rFont val="Times New Roman"/>
        <family val="1"/>
      </rPr>
      <t xml:space="preserve"> was coded as having medium body-wall sclerotization. 
This coding was based on the yellow-brown body colour, the presence of notogastral saccules and an opisthonotal gland, the notogaster being described as densely foveolate and irregularly micropunctate, and the reference diagnosis of </t>
    </r>
    <r>
      <rPr>
        <i/>
        <sz val="11"/>
        <color theme="1"/>
        <rFont val="Times New Roman"/>
        <family val="1"/>
      </rPr>
      <t>Peloribates</t>
    </r>
    <r>
      <rPr>
        <sz val="11"/>
        <color theme="1"/>
        <rFont val="Times New Roman"/>
        <family val="1"/>
      </rPr>
      <t xml:space="preserve"> as having sac-like or hemispherical saccules (Li and Li, 1989; Walter et al., 2014; Liu, 2021; Behan-Pelletier and Lindo, 2022).</t>
    </r>
    <phoneticPr fontId="2" type="noConversion"/>
  </si>
  <si>
    <t>Li and Li, 1989, pp. 404-407;
Walter et al., 2014, pp. 400-405;
Liu, 2021, p. 206; 
Behan-Pelletier and Lindo, 2022, pp. 198-199</t>
    <phoneticPr fontId="2" type="noConversion"/>
  </si>
  <si>
    <r>
      <t xml:space="preserve">Maraun et al. (2019) noted that reproductive mode has been documented for seven species within the genus </t>
    </r>
    <r>
      <rPr>
        <i/>
        <sz val="11"/>
        <color theme="1"/>
        <rFont val="Times New Roman"/>
        <family val="1"/>
      </rPr>
      <t>Peloribates</t>
    </r>
    <r>
      <rPr>
        <sz val="11"/>
        <color theme="1"/>
        <rFont val="Times New Roman"/>
        <family val="1"/>
      </rPr>
      <t xml:space="preserve">, and these species reproduce sexually; this evidence supports coding the genus as sexual.
</t>
    </r>
    <phoneticPr fontId="2" type="noConversion"/>
  </si>
  <si>
    <t xml:space="preserve">
Walter et al., 2014, p. 402;
Maraun et al., 2019</t>
    <phoneticPr fontId="2" type="noConversion"/>
  </si>
  <si>
    <r>
      <rPr>
        <i/>
        <sz val="11"/>
        <color theme="1"/>
        <rFont val="Times New Roman"/>
        <family val="1"/>
      </rPr>
      <t>Peloribates</t>
    </r>
    <r>
      <rPr>
        <sz val="11"/>
        <color theme="1"/>
        <rFont val="Times New Roman"/>
        <family val="1"/>
      </rPr>
      <t xml:space="preserve"> bears movable pteromorphs with a well-developed hinge (Li and Li, 1989; Walter et al., 2014; Liu, 2021), and was therefore coded as movable pteromorph.</t>
    </r>
    <phoneticPr fontId="2" type="noConversion"/>
  </si>
  <si>
    <t>Li and Li, 1989, pp. 404-407;
Walter et al., 2014, p. 399;
Liu, 2021, p. 206</t>
    <phoneticPr fontId="2" type="noConversion"/>
  </si>
  <si>
    <r>
      <rPr>
        <i/>
        <sz val="11"/>
        <color theme="1"/>
        <rFont val="Times New Roman"/>
        <family val="1"/>
      </rPr>
      <t>Peloribates</t>
    </r>
    <r>
      <rPr>
        <sz val="11"/>
        <color theme="1"/>
        <rFont val="Times New Roman"/>
        <family val="1"/>
      </rPr>
      <t xml:space="preserve"> is tridactylous (Li and Li, 1989; Walter et al., 2014; Liu, 2021; Behan-Pelletier and Lindo, 2022).</t>
    </r>
    <phoneticPr fontId="2" type="noConversion"/>
  </si>
  <si>
    <t>Li and Li, 1989, pp. 404-407;
Walter et al., 2014, pp. 402-404;
Liu, 2021, p. 206; 
Behan-Pelletier and Lindo, 2022, p. 198</t>
    <phoneticPr fontId="2" type="noConversion"/>
  </si>
  <si>
    <t>Haplozetidae was provisionally coded as intermediate at the family level because available data indicate variable developmental time (18–150 days), a generation time of about 123 days, and moderate to relatively long lifespan-related traits (adult lifespan 90–365 days; total lifespan 120–240 days), while gravid females are reported to carry up to six large eggs, together indicating mixed life-history characteristics rather than a clearly fast or slow strategy (Walter et al., 2014; Pfingstl and Schatz, 2021; Behan-Pelletier and Lindo, 2022).</t>
    <phoneticPr fontId="2" type="noConversion"/>
  </si>
  <si>
    <t>Walter et al., 2014, pp. 402-405;
Pfingstl and Schatz, 2021;
Behan-Pelletier and Lindo, 2022, p. 198</t>
    <phoneticPr fontId="2" type="noConversion"/>
  </si>
  <si>
    <r>
      <t>Maraun et al. (2023) reported seven publicly available stable isotope datasets for five species in Haplozetidae, indicating predominantly fungal feeding within the family; after recalculating mean isotope values at the family level, we used the recalculated Haplozetidae mean as a proxy and provisionally coded the genus</t>
    </r>
    <r>
      <rPr>
        <i/>
        <sz val="11"/>
        <color theme="1"/>
        <rFont val="Times New Roman"/>
        <family val="1"/>
      </rPr>
      <t xml:space="preserve"> Peloribates</t>
    </r>
    <r>
      <rPr>
        <sz val="11"/>
        <color theme="1"/>
        <rFont val="Times New Roman"/>
        <family val="1"/>
      </rPr>
      <t xml:space="preserve"> as a fungal feeder. 
In addition, gut contents include mostly fungal hyphae and spores with some coarse organic matter, and several records also include the cuticle of small mites, supporting predominantly fungal feeding with occasional animal material (Walter et al., 2014; Behan-Pelletier and Lindo, 2022).</t>
    </r>
    <phoneticPr fontId="2" type="noConversion"/>
  </si>
  <si>
    <t>Walter et al., 2014, pp. 402-405;
Behan-Pelletier and Lindo, 2022, p. 199;
Maraun et al., 2023</t>
    <phoneticPr fontId="2" type="noConversion"/>
  </si>
  <si>
    <t>549.94 ± 140.39 μm
(n = 17)</t>
    <phoneticPr fontId="2" type="noConversion"/>
  </si>
  <si>
    <t>Measured range: 381–763 μm; published range: 350–860 μm.</t>
    <phoneticPr fontId="2" type="noConversion"/>
  </si>
  <si>
    <t>Walter et al., 2014, pp. 466-468;
Liu, 2021, pp. 214-215;
Behan-Pelletier and Lindo, 2022, pp. 216-217</t>
    <phoneticPr fontId="2" type="noConversion"/>
  </si>
  <si>
    <t>365.82 ± 95.99 μm
(n = 17)</t>
    <phoneticPr fontId="2" type="noConversion"/>
  </si>
  <si>
    <t>Measured range: 259–506 μm; published range: 220–650 μm.</t>
    <phoneticPr fontId="2" type="noConversion"/>
  </si>
  <si>
    <t>Liu, 2021, pp. 214-215</t>
    <phoneticPr fontId="2" type="noConversion"/>
  </si>
  <si>
    <r>
      <rPr>
        <i/>
        <sz val="11"/>
        <color theme="1"/>
        <rFont val="Times New Roman"/>
        <family val="1"/>
      </rPr>
      <t>Ceratozetes</t>
    </r>
    <r>
      <rPr>
        <sz val="11"/>
        <color theme="1"/>
        <rFont val="Times New Roman"/>
        <family val="1"/>
      </rPr>
      <t xml:space="preserve"> was coded as having high body-wall sclerotization. 
This coding was based on the usually red-brown body colour, the presence of notogastral porose areas that may appear like sieve plates, and the diagnosis of ceratozetid mites as having discidium and custodium present, with an octotaxic system developed as porose areas or saccules (Li and Li, 1989; Walter et al., 2014; Liu, 2021; Behan-Pelletier and Lindo, 2022).</t>
    </r>
    <phoneticPr fontId="2" type="noConversion"/>
  </si>
  <si>
    <t>Li and Li, 1989, pp. 372-375;
Walter et al., 2014, pp. 465-466;
Liu, 2021, pp. 214-215;
Behan-Pelletier and Lindo, 2022, pp. 213-214, 216-217</t>
    <phoneticPr fontId="2" type="noConversion"/>
  </si>
  <si>
    <r>
      <t xml:space="preserve">Maraun et al. (2019) noted that reproductive mode has been documented for six species within the genus </t>
    </r>
    <r>
      <rPr>
        <i/>
        <sz val="11"/>
        <color theme="1"/>
        <rFont val="Times New Roman"/>
        <family val="1"/>
      </rPr>
      <t>Ceratozetes</t>
    </r>
    <r>
      <rPr>
        <sz val="11"/>
        <color theme="1"/>
        <rFont val="Times New Roman"/>
        <family val="1"/>
      </rPr>
      <t>, and these species reproduce sexually; this evidence supports coding the genus as sexual.</t>
    </r>
    <phoneticPr fontId="2" type="noConversion"/>
  </si>
  <si>
    <t xml:space="preserve">
Walter et al., 2014, pp. 466, 468;
Maraun et al., 2019</t>
    <phoneticPr fontId="2" type="noConversion"/>
  </si>
  <si>
    <r>
      <rPr>
        <i/>
        <sz val="11"/>
        <color theme="1"/>
        <rFont val="Times New Roman"/>
        <family val="1"/>
      </rPr>
      <t>Ceratozetes</t>
    </r>
    <r>
      <rPr>
        <sz val="11"/>
        <color theme="1"/>
        <rFont val="Times New Roman"/>
        <family val="1"/>
      </rPr>
      <t xml:space="preserve"> bears fixed pteromorphs, which are usually present and may occur with or without a hinge (Li and Li, 1989; Walter et al., 2014; Liu, 2021; Behan-Pelletier and Lindo, 2022), and was therefore coded as fixed pteromorph.</t>
    </r>
    <phoneticPr fontId="2" type="noConversion"/>
  </si>
  <si>
    <t>Li and Li, 1989, pp. 372-375;
Walter et al., 2014, p. 457;
Liu, 2021, pp. 213-215;
Behan-Pelletier and Lindo, 2022, p. 214</t>
    <phoneticPr fontId="2" type="noConversion"/>
  </si>
  <si>
    <r>
      <rPr>
        <i/>
        <sz val="11"/>
        <color theme="1"/>
        <rFont val="Times New Roman"/>
        <family val="1"/>
      </rPr>
      <t>Ceratozetes</t>
    </r>
    <r>
      <rPr>
        <sz val="11"/>
        <color theme="1"/>
        <rFont val="Times New Roman"/>
        <family val="1"/>
      </rPr>
      <t xml:space="preserve"> is tridactylous (Li and Li, 1989; Walter et al., 2014; Liu, 2021).</t>
    </r>
    <phoneticPr fontId="2" type="noConversion"/>
  </si>
  <si>
    <t>Li and Li, 1989, pp. 372-375;
Walter et al., 2014, pp. 465-466;
Liu, 2021, pp. 213-215</t>
    <phoneticPr fontId="2" type="noConversion"/>
  </si>
  <si>
    <r>
      <rPr>
        <i/>
        <sz val="11"/>
        <color theme="1"/>
        <rFont val="Times New Roman"/>
        <family val="1"/>
      </rPr>
      <t>Ceratozetes</t>
    </r>
    <r>
      <rPr>
        <sz val="11"/>
        <color theme="1"/>
        <rFont val="Times New Roman"/>
        <family val="1"/>
      </rPr>
      <t xml:space="preserve"> was provisionally coded as intermediate at the genus level because its reported species show variable developmental schedules, ranging from relatively short developmental time and generation time in </t>
    </r>
    <r>
      <rPr>
        <i/>
        <sz val="11"/>
        <color theme="1"/>
        <rFont val="Times New Roman"/>
        <family val="1"/>
      </rPr>
      <t>C. cisalpinus</t>
    </r>
    <r>
      <rPr>
        <sz val="11"/>
        <color theme="1"/>
        <rFont val="Times New Roman"/>
        <family val="1"/>
      </rPr>
      <t xml:space="preserve"> (32 days; 47–52 days) to prolonged developmental time in </t>
    </r>
    <r>
      <rPr>
        <i/>
        <sz val="11"/>
        <color theme="1"/>
        <rFont val="Times New Roman"/>
        <family val="1"/>
      </rPr>
      <t>C. kananaskis</t>
    </r>
    <r>
      <rPr>
        <sz val="11"/>
        <color theme="1"/>
        <rFont val="Times New Roman"/>
        <family val="1"/>
      </rPr>
      <t xml:space="preserve"> (465 days), while gravid females are reported to carry only 2–3 large eggs, together indicating mixed life-history characteristics rather than a clearly fast or slow strategy (Walter et al., 2014; Pfingstl and Schatz, 2021).</t>
    </r>
    <phoneticPr fontId="2" type="noConversion"/>
  </si>
  <si>
    <t>Walter et al., 2014, p. 468;
Pfingstl and Schatz, 2021</t>
    <phoneticPr fontId="2" type="noConversion"/>
  </si>
  <si>
    <r>
      <t xml:space="preserve">Maraun et al. (2023) reported six publicly available stable isotope datasets for four species within the genus </t>
    </r>
    <r>
      <rPr>
        <i/>
        <sz val="11"/>
        <color theme="1"/>
        <rFont val="Times New Roman"/>
        <family val="1"/>
      </rPr>
      <t>Ceratozetes</t>
    </r>
    <r>
      <rPr>
        <sz val="11"/>
        <color theme="1"/>
        <rFont val="Times New Roman"/>
        <family val="1"/>
      </rPr>
      <t xml:space="preserve">, suggesting trophic positions consistent with fungal feeding or predation; however, after recalculating mean isotope values at the genus level, we provisionally coded </t>
    </r>
    <r>
      <rPr>
        <i/>
        <sz val="11"/>
        <color theme="1"/>
        <rFont val="Times New Roman"/>
        <family val="1"/>
      </rPr>
      <t>Ceratozetes</t>
    </r>
    <r>
      <rPr>
        <sz val="11"/>
        <color theme="1"/>
        <rFont val="Times New Roman"/>
        <family val="1"/>
      </rPr>
      <t xml:space="preserve"> as a fungal feeder. 
In addition, gut contents show a preference for pigmented over hyaline hyphae, supporting fungal feeding (Walter et al., 2014; Behan-Pelletier and Lindo, 2022).</t>
    </r>
    <phoneticPr fontId="2" type="noConversion"/>
  </si>
  <si>
    <t>Walter et al., 2014, pp. 466-468;
Behan-Pelletier and Lindo, 2022, pp. 218-220;
Maraun et al., 2023</t>
    <phoneticPr fontId="2" type="noConversion"/>
  </si>
  <si>
    <t>501.00 ± 102.10 μm
(n = 8)</t>
    <phoneticPr fontId="2" type="noConversion"/>
  </si>
  <si>
    <t>Measured range: 358–652 μm; published range: 370–640 μm.</t>
    <phoneticPr fontId="2" type="noConversion"/>
  </si>
  <si>
    <t>Liu, 2021, p. 218;
Behan-Pelletier and Lindo, 2022, p. 224</t>
    <phoneticPr fontId="2" type="noConversion"/>
  </si>
  <si>
    <t>392.50 ± 11.74 μm
(n = 8)</t>
    <phoneticPr fontId="2" type="noConversion"/>
  </si>
  <si>
    <t>Measured range: 374–409 μm; published range: 380–405 μm.</t>
    <phoneticPr fontId="2" type="noConversion"/>
  </si>
  <si>
    <t>Liu, 2021, p. 218</t>
    <phoneticPr fontId="2" type="noConversion"/>
  </si>
  <si>
    <r>
      <rPr>
        <i/>
        <sz val="11"/>
        <color theme="1"/>
        <rFont val="Times New Roman"/>
        <family val="1"/>
      </rPr>
      <t>Melanozetes</t>
    </r>
    <r>
      <rPr>
        <sz val="11"/>
        <color theme="1"/>
        <rFont val="Times New Roman"/>
        <family val="1"/>
      </rPr>
      <t xml:space="preserve"> was coded as having medium body-wall sclerotization. 
This coding was based on the yellow-brown body colour, the presence of a lenticulus, notogastral porose areas, and an opisthonotal gland, with the notogastral porose areas described as small and borne on tubercles (Li and Li, 1989; Walter et al., 2014; Liu, 2021; Behan-Pelletier and Lindo, 2022).</t>
    </r>
    <phoneticPr fontId="2" type="noConversion"/>
  </si>
  <si>
    <t>Li and Li, 1989, pp. 379-380;
Walter et al., 2014, p. 479;
Liu, 2021, pp. 218-219;
Behan-Pelletier and Lindo, 2022, p. 224</t>
    <phoneticPr fontId="2" type="noConversion"/>
  </si>
  <si>
    <r>
      <t xml:space="preserve">Maraun et al. (2019) noted that reproductive mode has been documented for two species within the genus </t>
    </r>
    <r>
      <rPr>
        <i/>
        <sz val="11"/>
        <color theme="1"/>
        <rFont val="Times New Roman"/>
        <family val="1"/>
      </rPr>
      <t>Melanozetes</t>
    </r>
    <r>
      <rPr>
        <sz val="11"/>
        <color theme="1"/>
        <rFont val="Times New Roman"/>
        <family val="1"/>
      </rPr>
      <t>, and these species reproduce sexually; this evidence supports coding the genus as sexual.</t>
    </r>
    <phoneticPr fontId="2" type="noConversion"/>
  </si>
  <si>
    <r>
      <rPr>
        <i/>
        <sz val="11"/>
        <color theme="1"/>
        <rFont val="Times New Roman"/>
        <family val="1"/>
      </rPr>
      <t>Melanozetes</t>
    </r>
    <r>
      <rPr>
        <sz val="11"/>
        <color theme="1"/>
        <rFont val="Times New Roman"/>
        <family val="1"/>
      </rPr>
      <t xml:space="preserve"> bears well-developed pteromorphs that are immovable (Li and Li, 1989; Liu, 2021), and was therefore coded as fixed pteromorph.</t>
    </r>
    <phoneticPr fontId="2" type="noConversion"/>
  </si>
  <si>
    <t>Li and Li, 1989, pp. 379-380;
Liu, 2021, pp. 218-219</t>
    <phoneticPr fontId="2" type="noConversion"/>
  </si>
  <si>
    <r>
      <rPr>
        <i/>
        <sz val="11"/>
        <color theme="1"/>
        <rFont val="Times New Roman"/>
        <family val="1"/>
      </rPr>
      <t>Melanozetes</t>
    </r>
    <r>
      <rPr>
        <sz val="11"/>
        <color theme="1"/>
        <rFont val="Times New Roman"/>
        <family val="1"/>
      </rPr>
      <t xml:space="preserve"> is tridactylous (Li and Li, 1989; Liu, 2021).</t>
    </r>
    <phoneticPr fontId="2" type="noConversion"/>
  </si>
  <si>
    <r>
      <rPr>
        <i/>
        <sz val="11"/>
        <color theme="1"/>
        <rFont val="Times New Roman"/>
        <family val="1"/>
      </rPr>
      <t>Melanozetes</t>
    </r>
    <r>
      <rPr>
        <sz val="11"/>
        <color theme="1"/>
        <rFont val="Times New Roman"/>
        <family val="1"/>
      </rPr>
      <t xml:space="preserve"> was provisionally coded as intermediate at the genus level because gravid females are reported to carry up to four eggs, suggesting relatively low reproductive output, although direct evidence on developmental time, generation time, or lifespan is currently lacking (Walter et al., 2014).</t>
    </r>
    <phoneticPr fontId="2" type="noConversion"/>
  </si>
  <si>
    <t>Walter et al., 2014, p. 447</t>
    <phoneticPr fontId="2" type="noConversion"/>
  </si>
  <si>
    <r>
      <t xml:space="preserve">Maraun et al. (2023) reported five publicly available stable isotope datasets for two species within the genus </t>
    </r>
    <r>
      <rPr>
        <i/>
        <sz val="11"/>
        <color theme="1"/>
        <rFont val="Times New Roman"/>
        <family val="1"/>
      </rPr>
      <t>Melanozetes</t>
    </r>
    <r>
      <rPr>
        <sz val="11"/>
        <color theme="1"/>
        <rFont val="Times New Roman"/>
        <family val="1"/>
      </rPr>
      <t xml:space="preserve">, suggesting trophic positions consistent with primary decomposition or herbivory; however, after recalculating mean isotope values at the genus level, we provisionally coded </t>
    </r>
    <r>
      <rPr>
        <i/>
        <sz val="11"/>
        <color theme="1"/>
        <rFont val="Times New Roman"/>
        <family val="1"/>
      </rPr>
      <t>Melanozetes</t>
    </r>
    <r>
      <rPr>
        <sz val="11"/>
        <color theme="1"/>
        <rFont val="Times New Roman"/>
        <family val="1"/>
      </rPr>
      <t xml:space="preserve"> as a primary decomposer.</t>
    </r>
    <phoneticPr fontId="2" type="noConversion"/>
  </si>
  <si>
    <t>678.55 ± 41.43 μm
(n = 29)</t>
    <phoneticPr fontId="2" type="noConversion"/>
  </si>
  <si>
    <t>Measured range: 596–753 μm; published range: 550–725 μm.</t>
    <phoneticPr fontId="2" type="noConversion"/>
  </si>
  <si>
    <t>Walter et al., 2014, p. 521;
Liu, 2021, pp. 232-234;
Behan-Pelletier and Lindo, 2022, p. 243</t>
    <phoneticPr fontId="2" type="noConversion"/>
  </si>
  <si>
    <t>449.59 ± 39.10 μm
(n = 29)</t>
    <phoneticPr fontId="2" type="noConversion"/>
  </si>
  <si>
    <t>Measured range: 356–525 μm; published range: 565–580 μm.</t>
    <phoneticPr fontId="2" type="noConversion"/>
  </si>
  <si>
    <t>Liu, 2021, pp. 232-234</t>
    <phoneticPr fontId="2" type="noConversion"/>
  </si>
  <si>
    <r>
      <rPr>
        <i/>
        <sz val="11"/>
        <color theme="1"/>
        <rFont val="Times New Roman"/>
        <family val="1"/>
      </rPr>
      <t>Galumna</t>
    </r>
    <r>
      <rPr>
        <sz val="11"/>
        <color theme="1"/>
        <rFont val="Times New Roman"/>
        <family val="1"/>
      </rPr>
      <t xml:space="preserve"> was coded as having medium body-wall sclerotization. 
This coding was based on the light brown body colour, the presence of large, oval, dark, pitted notogastral porose areas, the notogaster being described as microtuberculate, and the reduction of notogastral setae to alveoli (Li and Li, 1989; Walter et al., 2014; Liu, 2021; Zheng, 2021; Behan-Pelletier and Lindo, 2022).</t>
    </r>
    <phoneticPr fontId="2" type="noConversion"/>
  </si>
  <si>
    <t>Li and Li, 1989, pp. 411-412;
Walter et al., 2014, pp. 521-522;
Liu, 2021, pp. 233-234;
Zheng, 2021;
Behan-Pelletier and Lindo, 2022, p. 243</t>
    <phoneticPr fontId="2" type="noConversion"/>
  </si>
  <si>
    <r>
      <t xml:space="preserve">Maraun et al. (2019) noted that reproductive mode has been documented for 19 species within the genus </t>
    </r>
    <r>
      <rPr>
        <i/>
        <sz val="11"/>
        <color theme="1"/>
        <rFont val="Times New Roman"/>
        <family val="1"/>
      </rPr>
      <t>Galumna</t>
    </r>
    <r>
      <rPr>
        <sz val="11"/>
        <color theme="1"/>
        <rFont val="Times New Roman"/>
        <family val="1"/>
      </rPr>
      <t xml:space="preserve">, and these species reproduce sexually; this evidence supports coding the genus as sexual.
</t>
    </r>
    <phoneticPr fontId="2" type="noConversion"/>
  </si>
  <si>
    <t xml:space="preserve">
Walter et al., 2014, pp. 521-522;
Maraun et al., 2019</t>
    <phoneticPr fontId="2" type="noConversion"/>
  </si>
  <si>
    <r>
      <rPr>
        <i/>
        <sz val="11"/>
        <color theme="1"/>
        <rFont val="Times New Roman"/>
        <family val="1"/>
      </rPr>
      <t>Galumna</t>
    </r>
    <r>
      <rPr>
        <sz val="11"/>
        <color theme="1"/>
        <rFont val="Times New Roman"/>
        <family val="1"/>
      </rPr>
      <t xml:space="preserve"> bears well-developed, hinged, auriculate pteromorphs that are transversely striate, folded, and ornamented with a pebble-like pattern (Li and Li, 1989; Walter et al., 2014; Liu, 2021; Zheng, 2021; Behan-Pelletier and Lindo, 2022), and was therefore coded as movable pteromorph.</t>
    </r>
    <phoneticPr fontId="2" type="noConversion"/>
  </si>
  <si>
    <t>Li and Li, 1989, pp. 411-412;
Walter et al., 2014, pp. 520-522;
Liu, 2021, pp. 233-234;
Zheng, 2021;
Behan-Pelletier and Lindo, 2022, p. 242</t>
    <phoneticPr fontId="2" type="noConversion"/>
  </si>
  <si>
    <r>
      <rPr>
        <i/>
        <sz val="11"/>
        <color theme="1"/>
        <rFont val="Times New Roman"/>
        <family val="1"/>
      </rPr>
      <t>Galumna</t>
    </r>
    <r>
      <rPr>
        <sz val="11"/>
        <color theme="1"/>
        <rFont val="Times New Roman"/>
        <family val="1"/>
      </rPr>
      <t xml:space="preserve"> is tridactylous (Li and Li, 1989; Zheng, 2021; Liu, 2021).</t>
    </r>
    <phoneticPr fontId="2" type="noConversion"/>
  </si>
  <si>
    <t>Li and Li, 1989, pp. 411-412;
Zheng, 2021;
Liu, 2021, pp. 233-234</t>
    <phoneticPr fontId="2" type="noConversion"/>
  </si>
  <si>
    <r>
      <rPr>
        <i/>
        <sz val="11"/>
        <color theme="1"/>
        <rFont val="Times New Roman"/>
        <family val="1"/>
      </rPr>
      <t>Galumna</t>
    </r>
    <r>
      <rPr>
        <sz val="11"/>
        <color theme="1"/>
        <rFont val="Times New Roman"/>
        <family val="1"/>
      </rPr>
      <t xml:space="preserve"> was provisionally coded as r-selected at the genus level because its reported species generally show short developmental time (30–67 days), while </t>
    </r>
    <r>
      <rPr>
        <i/>
        <sz val="11"/>
        <color theme="1"/>
        <rFont val="Times New Roman"/>
        <family val="1"/>
      </rPr>
      <t>G. louisianae</t>
    </r>
    <r>
      <rPr>
        <sz val="11"/>
        <color theme="1"/>
        <rFont val="Times New Roman"/>
        <family val="1"/>
      </rPr>
      <t xml:space="preserve"> also has a relatively short generation time (74–78 days), and gravid adult females are reported to carry at least six eggs, together indicating rapid development and relatively high population turnover (Walter et al., 2014; Pfingstl and Schatz, 2021).</t>
    </r>
    <phoneticPr fontId="2" type="noConversion"/>
  </si>
  <si>
    <t>Walter et al., 2014, pp. 521-522;
Pfingstl and Schatz, 2021</t>
    <phoneticPr fontId="2" type="noConversion"/>
  </si>
  <si>
    <r>
      <t xml:space="preserve">Maraun et al. (2023) reported five publicly available stable isotope datasets for four species within the genus </t>
    </r>
    <r>
      <rPr>
        <i/>
        <sz val="11"/>
        <color theme="1"/>
        <rFont val="Times New Roman"/>
        <family val="1"/>
      </rPr>
      <t>Galumna</t>
    </r>
    <r>
      <rPr>
        <sz val="11"/>
        <color theme="1"/>
        <rFont val="Times New Roman"/>
        <family val="1"/>
      </rPr>
      <t xml:space="preserve">, suggesting trophic positions consistent with fungal feeding or predation; however, after recalculating mean isotope values at the genus level, we provisionally coded </t>
    </r>
    <r>
      <rPr>
        <i/>
        <sz val="11"/>
        <color theme="1"/>
        <rFont val="Times New Roman"/>
        <family val="1"/>
      </rPr>
      <t>Galumna</t>
    </r>
    <r>
      <rPr>
        <sz val="11"/>
        <color theme="1"/>
        <rFont val="Times New Roman"/>
        <family val="1"/>
      </rPr>
      <t xml:space="preserve"> as a fungal feeder. 
In addition, gut contents include fungal material, arthropod cuticle, and granular material, supporting predominantly fungal feeding with occasional animal material (Walter et al., 2014).</t>
    </r>
    <phoneticPr fontId="2" type="noConversion"/>
  </si>
  <si>
    <t>Walter et al., 2014, pp. 521-523;
Maraun et al., 2023</t>
    <phoneticPr fontId="2" type="noConversion"/>
  </si>
  <si>
    <t>318.23 ± 38.38 μm
(n = 31)</t>
    <phoneticPr fontId="2" type="noConversion"/>
  </si>
  <si>
    <t>Measured range: 261–413 μm; published range: 310–670 μm.</t>
    <phoneticPr fontId="2" type="noConversion"/>
  </si>
  <si>
    <t xml:space="preserve">Liu, 2021, p. 237
</t>
    <phoneticPr fontId="2" type="noConversion"/>
  </si>
  <si>
    <t>222.97 ± 24.93 μm
(n = 31)</t>
    <phoneticPr fontId="2" type="noConversion"/>
  </si>
  <si>
    <t>Measured range: 190–286 μm; published range: 240–245 μm.</t>
    <phoneticPr fontId="2" type="noConversion"/>
  </si>
  <si>
    <t>Liu, 2021, p. 237</t>
    <phoneticPr fontId="2" type="noConversion"/>
  </si>
  <si>
    <r>
      <rPr>
        <i/>
        <sz val="11"/>
        <color theme="1"/>
        <rFont val="Times New Roman"/>
        <family val="1"/>
      </rPr>
      <t>Trichogalumna</t>
    </r>
    <r>
      <rPr>
        <sz val="11"/>
        <color theme="1"/>
        <rFont val="Times New Roman"/>
        <family val="1"/>
      </rPr>
      <t xml:space="preserve"> was coded as having medium body-wall sclerotization. 
This coding was based on the dark brown body colour, the presence of notogastral porose areas, an opisthonotal gland, and a lenticulus (Li and Li, 1989; Walter et al., 2014; Zheng, 2021; Liu, 2021).</t>
    </r>
    <phoneticPr fontId="2" type="noConversion"/>
  </si>
  <si>
    <t>Li and Li, 1989, pp. 411-412;
Walter et al., 2014, p. 479;
Zheng, 2021;
Liu, 2021, p. 237</t>
    <phoneticPr fontId="2" type="noConversion"/>
  </si>
  <si>
    <r>
      <t xml:space="preserve">Maraun et al. (2019) noted that reproductive mode has been documented for only one species within the genus </t>
    </r>
    <r>
      <rPr>
        <i/>
        <sz val="11"/>
        <color theme="1"/>
        <rFont val="Times New Roman"/>
        <family val="1"/>
      </rPr>
      <t>Trichogalumna</t>
    </r>
    <r>
      <rPr>
        <sz val="11"/>
        <color theme="1"/>
        <rFont val="Times New Roman"/>
        <family val="1"/>
      </rPr>
      <t xml:space="preserve">, and that species reproduces sexually; this limited evidence supports coding the genus as sexual.
</t>
    </r>
    <phoneticPr fontId="2" type="noConversion"/>
  </si>
  <si>
    <r>
      <rPr>
        <i/>
        <sz val="11"/>
        <color theme="1"/>
        <rFont val="Times New Roman"/>
        <family val="1"/>
      </rPr>
      <t>Trichogalumna</t>
    </r>
    <r>
      <rPr>
        <sz val="11"/>
        <color theme="1"/>
        <rFont val="Times New Roman"/>
        <family val="1"/>
      </rPr>
      <t xml:space="preserve"> bears hinged, auriculate pteromorphs (Li and Li, 1989; Liu, 2021; Zheng, 2021; Behan-Pelletier and Lindo, 2022), and was therefore coded as movable pteromorph.</t>
    </r>
    <phoneticPr fontId="2" type="noConversion"/>
  </si>
  <si>
    <t>Li and Li, 1989, pp. 411-412;
Liu, 2021, p. 237;
Zheng, 2021;
Behan-Pelletier and Lindo, 2022, p. 242</t>
    <phoneticPr fontId="2" type="noConversion"/>
  </si>
  <si>
    <r>
      <rPr>
        <i/>
        <sz val="11"/>
        <color theme="1"/>
        <rFont val="Times New Roman"/>
        <family val="1"/>
      </rPr>
      <t>Trichogalumna</t>
    </r>
    <r>
      <rPr>
        <sz val="11"/>
        <color theme="1"/>
        <rFont val="Times New Roman"/>
        <family val="1"/>
      </rPr>
      <t xml:space="preserve"> is tridactylous (Li and Li, 1989; Zheng, 2021; Liu, 2021).</t>
    </r>
    <phoneticPr fontId="2" type="noConversion"/>
  </si>
  <si>
    <t>Li and Li, 1989, pp. 411-412;
Zheng, 2021;
Liu, 2021, p. 237</t>
    <phoneticPr fontId="2" type="noConversion"/>
  </si>
  <si>
    <t>Galumnidae was provisionally coded as r-selected at the family level because available data indicate generally short developmental time (27–158 days) and short generation time (42–78 days), despite some variation in lifespan-related traits (adult lifespan 37–287 days; total lifespan 54–240 days), together suggesting rapid development and relatively high population turnover (Walter et al., 2014; Pfingstl and Schatz, 2021).</t>
    <phoneticPr fontId="2" type="noConversion"/>
  </si>
  <si>
    <t>Walter et al., 2014, p. 447;
Pfingstl and Schatz, 2021</t>
    <phoneticPr fontId="2" type="noConversion"/>
  </si>
  <si>
    <r>
      <t xml:space="preserve">Maraun et al. (2023) reported 21 publicly available stable isotope datasets for 13 species in the family Galumnidae, suggesting trophic positions consistent with fungal feeding or predation within the family; however, after recalculating mean isotope values at the family level, we used the recalculated Galumnidae mean as a proxy and provisionally coded the genus </t>
    </r>
    <r>
      <rPr>
        <i/>
        <sz val="11"/>
        <color theme="1"/>
        <rFont val="Times New Roman"/>
        <family val="1"/>
      </rPr>
      <t>Trichogalumna</t>
    </r>
    <r>
      <rPr>
        <sz val="11"/>
        <color theme="1"/>
        <rFont val="Times New Roman"/>
        <family val="1"/>
      </rPr>
      <t xml:space="preserve"> as a fungal feeder.</t>
    </r>
    <phoneticPr fontId="2" type="noConversion"/>
  </si>
  <si>
    <t>542.73 ± 63.50 μm
(n = 15)</t>
    <phoneticPr fontId="2" type="noConversion"/>
  </si>
  <si>
    <t>Measured range: 477–690 μm; published range: 370–680 μm.</t>
    <phoneticPr fontId="2" type="noConversion"/>
  </si>
  <si>
    <t xml:space="preserve">Liu, 2021, pp, 235-236; 
Behan-Pelletier and Lindo, 2022, pp. 243-244
</t>
    <phoneticPr fontId="2" type="noConversion"/>
  </si>
  <si>
    <t>386.53 ± 62.81 μm
(n = 15)</t>
    <phoneticPr fontId="2" type="noConversion"/>
  </si>
  <si>
    <t>Measured range: 299–535 μm; published range: 315–550 μm.</t>
    <phoneticPr fontId="2" type="noConversion"/>
  </si>
  <si>
    <t>Liu, 2021, pp. 235-236</t>
    <phoneticPr fontId="2" type="noConversion"/>
  </si>
  <si>
    <r>
      <rPr>
        <i/>
        <sz val="11"/>
        <color theme="1"/>
        <rFont val="Times New Roman"/>
        <family val="1"/>
      </rPr>
      <t>Pergalumna</t>
    </r>
    <r>
      <rPr>
        <sz val="11"/>
        <color theme="1"/>
        <rFont val="Times New Roman"/>
        <family val="1"/>
      </rPr>
      <t xml:space="preserve"> was coded as having medium body-wall sclerotization. 
This coding was based on the yellowish-brown to dark brown body colour, the presence of notogastral porose areas, setal alveoli, and an opisthonotal gland (Li and Li, 1989; Liu, 2021; Zheng, 2021; Behan-Pelletier and Lindo, 2022).</t>
    </r>
    <phoneticPr fontId="2" type="noConversion"/>
  </si>
  <si>
    <t>Li and Li, 1989, pp. 411-412;
Liu, 2021, pp. 235-236; 
Zheng, 2021;
Behan-Pelletier and Lindo, 2022, pp. 243-244</t>
    <phoneticPr fontId="2" type="noConversion"/>
  </si>
  <si>
    <r>
      <t xml:space="preserve">Maraun et al. (2019) noted that reproductive mode has been documented for 17 species within the genus </t>
    </r>
    <r>
      <rPr>
        <i/>
        <sz val="11"/>
        <color theme="1"/>
        <rFont val="Times New Roman"/>
        <family val="1"/>
      </rPr>
      <t>Pergalumna</t>
    </r>
    <r>
      <rPr>
        <sz val="11"/>
        <color theme="1"/>
        <rFont val="Times New Roman"/>
        <family val="1"/>
      </rPr>
      <t xml:space="preserve">, and these species reproduce sexually; this evidence supports coding the genus as sexual.
</t>
    </r>
    <phoneticPr fontId="2" type="noConversion"/>
  </si>
  <si>
    <t xml:space="preserve">
Walter et al., 2014, p. 525;
Maraun et al., 2019</t>
    <phoneticPr fontId="2" type="noConversion"/>
  </si>
  <si>
    <r>
      <rPr>
        <i/>
        <sz val="11"/>
        <color theme="1"/>
        <rFont val="Times New Roman"/>
        <family val="1"/>
      </rPr>
      <t>Pergalumna</t>
    </r>
    <r>
      <rPr>
        <sz val="11"/>
        <color theme="1"/>
        <rFont val="Times New Roman"/>
        <family val="1"/>
      </rPr>
      <t xml:space="preserve"> bears well-developed, hinged, auriculate pteromorphs, with a reticulate pattern along the ventral margin (Li and Li, 1989; Liu, 2021; Zheng, 2021; Behan-Pelletier and Lindo, 2022), and was therefore coded as a movable pteromorph.</t>
    </r>
    <phoneticPr fontId="2" type="noConversion"/>
  </si>
  <si>
    <t>Li and Li, 1989, pp. 411-412;
Liu, 2021, pp. 234-236;
Zheng, 2021;
Behan-Pelletier and Lindo, 2022, pp. 242, 244</t>
    <phoneticPr fontId="2" type="noConversion"/>
  </si>
  <si>
    <r>
      <rPr>
        <i/>
        <sz val="11"/>
        <color theme="1"/>
        <rFont val="Times New Roman"/>
        <family val="1"/>
      </rPr>
      <t>Pergalumna</t>
    </r>
    <r>
      <rPr>
        <sz val="11"/>
        <color theme="1"/>
        <rFont val="Times New Roman"/>
        <family val="1"/>
      </rPr>
      <t xml:space="preserve"> is tridactylous (Li and Li, 1989; Liu, 2021).</t>
    </r>
    <phoneticPr fontId="2" type="noConversion"/>
  </si>
  <si>
    <t>Li and Li, 1989, pp. 411-412;
Zheng, 2021;
Liu, 2021, pp. 234-236</t>
    <phoneticPr fontId="2" type="noConversion"/>
  </si>
  <si>
    <r>
      <rPr>
        <i/>
        <sz val="11"/>
        <color theme="1"/>
        <rFont val="Times New Roman"/>
        <family val="1"/>
      </rPr>
      <t>Pergalumna</t>
    </r>
    <r>
      <rPr>
        <sz val="11"/>
        <color theme="1"/>
        <rFont val="Times New Roman"/>
        <family val="1"/>
      </rPr>
      <t xml:space="preserve"> was provisionally coded as r-selected at the genus level because its reported species generally show short developmental time (27–158 days), while gravid females are reported to carry at least seven large eggs, together indicating relatively rapid development and high reproductive output (Walter et al., 2014; Pfingstl and Schatz, 2021).</t>
    </r>
    <phoneticPr fontId="2" type="noConversion"/>
  </si>
  <si>
    <t>Walter et al., 2014, p. 525;
Pfingstl and Schatz, 2021</t>
    <phoneticPr fontId="2" type="noConversion"/>
  </si>
  <si>
    <r>
      <t xml:space="preserve">Maraun et al. (2023) reported eight publicly available stable isotope datasets for six species within the genus </t>
    </r>
    <r>
      <rPr>
        <i/>
        <sz val="11"/>
        <color theme="1"/>
        <rFont val="Times New Roman"/>
        <family val="1"/>
      </rPr>
      <t>Pergalumna</t>
    </r>
    <r>
      <rPr>
        <sz val="11"/>
        <color theme="1"/>
        <rFont val="Times New Roman"/>
        <family val="1"/>
      </rPr>
      <t xml:space="preserve">; these datasets consistently indicate a fungal-feeding trophic guild, and we provisionally coded </t>
    </r>
    <r>
      <rPr>
        <i/>
        <sz val="11"/>
        <color theme="1"/>
        <rFont val="Times New Roman"/>
        <family val="1"/>
      </rPr>
      <t>Pergalumna</t>
    </r>
    <r>
      <rPr>
        <sz val="11"/>
        <color theme="1"/>
        <rFont val="Times New Roman"/>
        <family val="1"/>
      </rPr>
      <t xml:space="preserve"> as a fungal feeder. 
In addition, gut contents include brown and unpigmented fungal hyphae and spores, as well as what appear to be moss spores, supporting fungal feeding (Walter et al., 2014).</t>
    </r>
    <phoneticPr fontId="2" type="noConversion"/>
  </si>
  <si>
    <t>Walter et al., 2014, p. 525;
Maraun et al., 2023</t>
    <phoneticPr fontId="2" type="noConversion"/>
  </si>
  <si>
    <t>Suborder</t>
  </si>
  <si>
    <t>Genus</t>
  </si>
  <si>
    <t>Species</t>
    <phoneticPr fontId="1" type="noConversion"/>
  </si>
  <si>
    <r>
      <t>13</t>
    </r>
    <r>
      <rPr>
        <b/>
        <sz val="11"/>
        <color theme="1"/>
        <rFont val="Times New Roman"/>
        <family val="1"/>
      </rPr>
      <t>C</t>
    </r>
  </si>
  <si>
    <r>
      <rPr>
        <b/>
        <vertAlign val="superscript"/>
        <sz val="11"/>
        <color theme="1"/>
        <rFont val="Times New Roman"/>
        <family val="1"/>
      </rPr>
      <t>15</t>
    </r>
    <r>
      <rPr>
        <b/>
        <sz val="11"/>
        <color theme="1"/>
        <rFont val="Times New Roman"/>
        <family val="1"/>
      </rPr>
      <t>N</t>
    </r>
    <phoneticPr fontId="1" type="noConversion"/>
  </si>
  <si>
    <t>Reference</t>
    <phoneticPr fontId="1" type="noConversion"/>
  </si>
  <si>
    <r>
      <rPr>
        <b/>
        <vertAlign val="superscript"/>
        <sz val="11"/>
        <color theme="1"/>
        <rFont val="Times New Roman"/>
        <family val="1"/>
      </rPr>
      <t>13</t>
    </r>
    <r>
      <rPr>
        <b/>
        <sz val="11"/>
        <color theme="1"/>
        <rFont val="Times New Roman"/>
        <family val="1"/>
      </rPr>
      <t>C mean</t>
    </r>
  </si>
  <si>
    <r>
      <rPr>
        <b/>
        <vertAlign val="superscript"/>
        <sz val="11"/>
        <color theme="1"/>
        <rFont val="Times New Roman"/>
        <family val="1"/>
      </rPr>
      <t>15</t>
    </r>
    <r>
      <rPr>
        <b/>
        <sz val="11"/>
        <color theme="1"/>
        <rFont val="Times New Roman"/>
        <family val="1"/>
      </rPr>
      <t>N mean</t>
    </r>
  </si>
  <si>
    <t>group</t>
  </si>
  <si>
    <t>Eniochthoniidae</t>
  </si>
  <si>
    <t>Eniochthonius</t>
  </si>
  <si>
    <t>Eniochthonius minutissimus</t>
  </si>
  <si>
    <t>Lu et al. (2022, unpublished)</t>
  </si>
  <si>
    <t>decomp</t>
  </si>
  <si>
    <t>Fischer et al. (2010)</t>
  </si>
  <si>
    <t>Hypochthoniidae</t>
  </si>
  <si>
    <t>Eohypochthonius</t>
  </si>
  <si>
    <t>Eohypochthonius salicifolius</t>
    <phoneticPr fontId="1" type="noConversion"/>
  </si>
  <si>
    <t>Krause et al. (2021), rain forest</t>
    <phoneticPr fontId="1" type="noConversion"/>
  </si>
  <si>
    <t xml:space="preserve">pred/scav </t>
  </si>
  <si>
    <t>Hypochthonius</t>
  </si>
  <si>
    <t>Hypochthonius luteus</t>
  </si>
  <si>
    <t>Maraun et al. (2011)</t>
  </si>
  <si>
    <t>Hypochthonius rufulus</t>
  </si>
  <si>
    <t>Lehmitz &amp; Maraun (2016)</t>
  </si>
  <si>
    <t>Magilton et al. (2019)</t>
  </si>
  <si>
    <t>Pollierer et al. (2009)</t>
  </si>
  <si>
    <t>Malacoangelia</t>
  </si>
  <si>
    <t xml:space="preserve">Malacoangelia remigera </t>
    <phoneticPr fontId="1" type="noConversion"/>
  </si>
  <si>
    <t>Krause et al. (2021), rain forest</t>
  </si>
  <si>
    <t>fungi</t>
  </si>
  <si>
    <r>
      <t xml:space="preserve">Note: Based on the recalculated superfamily-level mean isotope values for Hypochthonioidea, </t>
    </r>
    <r>
      <rPr>
        <i/>
        <sz val="11"/>
        <color rgb="FFFF0000"/>
        <rFont val="Times New Roman"/>
        <family val="1"/>
      </rPr>
      <t>Archoplophora</t>
    </r>
    <r>
      <rPr>
        <sz val="11"/>
        <color rgb="FFFF0000"/>
        <rFont val="Times New Roman"/>
        <family val="1"/>
      </rPr>
      <t xml:space="preserve"> is provisionally inferred to be a fungal feeder.</t>
    </r>
    <phoneticPr fontId="1" type="noConversion"/>
  </si>
  <si>
    <t>Schneider et al. (2004)</t>
  </si>
  <si>
    <t>Lohmannioidea</t>
  </si>
  <si>
    <t>Lohmanniidae</t>
  </si>
  <si>
    <t>Meristacarus</t>
  </si>
  <si>
    <t xml:space="preserve">Meristacarus nov sp </t>
  </si>
  <si>
    <t>Meristacarus porcula</t>
  </si>
  <si>
    <t>Meristacarus sundensis</t>
  </si>
  <si>
    <t>Tsurikov et al. (2019)</t>
  </si>
  <si>
    <r>
      <t xml:space="preserve">Note: Based on the recalculated family-level mean isotope values for Lohmanniidae, </t>
    </r>
    <r>
      <rPr>
        <i/>
        <sz val="11"/>
        <color rgb="FFFF0000"/>
        <rFont val="Times New Roman"/>
        <family val="1"/>
      </rPr>
      <t>Lohmannia</t>
    </r>
    <r>
      <rPr>
        <sz val="11"/>
        <color rgb="FFFF0000"/>
        <rFont val="Times New Roman"/>
        <family val="1"/>
      </rPr>
      <t xml:space="preserve"> and </t>
    </r>
    <r>
      <rPr>
        <i/>
        <sz val="11"/>
        <color rgb="FFFF0000"/>
        <rFont val="Times New Roman"/>
        <family val="1"/>
      </rPr>
      <t>Papillacarus</t>
    </r>
    <r>
      <rPr>
        <sz val="11"/>
        <color rgb="FFFF0000"/>
        <rFont val="Times New Roman"/>
        <family val="1"/>
      </rPr>
      <t xml:space="preserve"> are provisionally inferred to be fungal feeders.</t>
    </r>
    <phoneticPr fontId="1" type="noConversion"/>
  </si>
  <si>
    <t>Epilohmannioidea</t>
  </si>
  <si>
    <t>Epilohmanniidae</t>
  </si>
  <si>
    <t>Epilohmannia</t>
  </si>
  <si>
    <t>Epilohmannia cylindrica</t>
    <phoneticPr fontId="1" type="noConversion"/>
  </si>
  <si>
    <t>Maaß et al. (2015)</t>
  </si>
  <si>
    <t>Phthiracaridae</t>
  </si>
  <si>
    <t>Hoplophthiracarus</t>
  </si>
  <si>
    <t>Hoplophthiracarus illinoisensis</t>
  </si>
  <si>
    <r>
      <t>CaCO</t>
    </r>
    <r>
      <rPr>
        <vertAlign val="subscript"/>
        <sz val="11"/>
        <color theme="1"/>
        <rFont val="Times New Roman"/>
        <family val="1"/>
      </rPr>
      <t>3</t>
    </r>
  </si>
  <si>
    <t>Euphthiracaroidea</t>
  </si>
  <si>
    <t>Euphthiracaridae</t>
    <phoneticPr fontId="1" type="noConversion"/>
  </si>
  <si>
    <t>Mesotritia</t>
  </si>
  <si>
    <t>Mesotritia nuda</t>
  </si>
  <si>
    <t>Maraun et al. (2014)</t>
  </si>
  <si>
    <t>Microtritia</t>
  </si>
  <si>
    <t>Microtritia minima</t>
  </si>
  <si>
    <t>Phthiracarus</t>
  </si>
  <si>
    <t>Phthiracarus anonymus</t>
  </si>
  <si>
    <t>Phthiracarus boresetosus</t>
  </si>
  <si>
    <t>Phthiracarus crinitus</t>
  </si>
  <si>
    <t>lichen</t>
  </si>
  <si>
    <t>Phthiracarus italicus</t>
  </si>
  <si>
    <t>Phthiracarus laevigatus</t>
  </si>
  <si>
    <t>Phthiracarus sp.</t>
  </si>
  <si>
    <t>Fischer et al. (2014), 2050 m</t>
  </si>
  <si>
    <t>Nico Treibert (2020, unpublished), Solling</t>
  </si>
  <si>
    <t>Nico Treibert (2020, unpublished), Göttinger Wald</t>
  </si>
  <si>
    <t>Euphthiracaridae</t>
  </si>
  <si>
    <t>Rhysotritia</t>
  </si>
  <si>
    <t>Rhysotritia ardua</t>
  </si>
  <si>
    <t>Rhysotritia duplicata</t>
  </si>
  <si>
    <t>Steganacarus</t>
  </si>
  <si>
    <t>Steganacarus anomalus</t>
  </si>
  <si>
    <t>Corral-Hernández et al. (2015)</t>
  </si>
  <si>
    <t>Steganacarus magnus</t>
  </si>
  <si>
    <t>Melguizo-Ruiz et al. (2017)</t>
  </si>
  <si>
    <t>Steganacarus ortizi</t>
  </si>
  <si>
    <t>Steganacarus spinosus</t>
  </si>
  <si>
    <t>Steganacarus striculus</t>
  </si>
  <si>
    <t>Mixonomatides</t>
    <phoneticPr fontId="1" type="noConversion"/>
  </si>
  <si>
    <t>Atropacarus</t>
  </si>
  <si>
    <r>
      <t xml:space="preserve">Note: Based on the recalculated suborder-level mean isotope values for Mixonomatides, </t>
    </r>
    <r>
      <rPr>
        <i/>
        <sz val="11"/>
        <color rgb="FFFF0000"/>
        <rFont val="Times New Roman"/>
        <family val="1"/>
      </rPr>
      <t>Eulohmannia</t>
    </r>
    <r>
      <rPr>
        <sz val="11"/>
        <color rgb="FFFF0000"/>
        <rFont val="Times New Roman"/>
        <family val="1"/>
      </rPr>
      <t xml:space="preserve"> is provisionally inferred to be primarily detritivorous.</t>
    </r>
    <phoneticPr fontId="1" type="noConversion"/>
  </si>
  <si>
    <r>
      <t xml:space="preserve">Note: </t>
    </r>
    <r>
      <rPr>
        <i/>
        <sz val="11"/>
        <color rgb="FFFF0000"/>
        <rFont val="Times New Roman"/>
        <family val="1"/>
      </rPr>
      <t>Acrotritia</t>
    </r>
    <r>
      <rPr>
        <sz val="11"/>
        <color rgb="FFFF0000"/>
        <rFont val="Times New Roman"/>
        <family val="1"/>
      </rPr>
      <t xml:space="preserve"> is the valid name following Behan-Pelletier and Lindo (2022), with </t>
    </r>
    <r>
      <rPr>
        <i/>
        <sz val="11"/>
        <color rgb="FFFF0000"/>
        <rFont val="Times New Roman"/>
        <family val="1"/>
      </rPr>
      <t>Rhysotritia</t>
    </r>
    <r>
      <rPr>
        <sz val="11"/>
        <color rgb="FFFF0000"/>
        <rFont val="Times New Roman"/>
        <family val="1"/>
      </rPr>
      <t xml:space="preserve"> as a junior synonym.</t>
    </r>
    <phoneticPr fontId="1" type="noConversion"/>
  </si>
  <si>
    <t>Camisiidae_Crotoniidae</t>
  </si>
  <si>
    <t>Camisia</t>
  </si>
  <si>
    <t>Camisia biurus</t>
  </si>
  <si>
    <t xml:space="preserve">Erdmann et al. (2007) </t>
  </si>
  <si>
    <t>Camisia biverrucata</t>
  </si>
  <si>
    <t>Camisia horrida</t>
  </si>
  <si>
    <t>Fischer et al. (2014), 2900 m</t>
  </si>
  <si>
    <t>Camisia segnis</t>
  </si>
  <si>
    <t>Camisia spinifer</t>
  </si>
  <si>
    <t>Fischer et al. (2014), 2300 m</t>
  </si>
  <si>
    <t>Heminothrus</t>
  </si>
  <si>
    <t>Heminothrus targionii</t>
  </si>
  <si>
    <t>Camisiidae_Crotoniidae</t>
    <phoneticPr fontId="1" type="noConversion"/>
  </si>
  <si>
    <t>Platynothrus</t>
  </si>
  <si>
    <t>Platynothrus peltifer</t>
    <phoneticPr fontId="1" type="noConversion"/>
  </si>
  <si>
    <t>Platynothrus peltifer</t>
  </si>
  <si>
    <t xml:space="preserve">Bluhm et al. (2015) </t>
  </si>
  <si>
    <t>Kudrin et al. (2015)</t>
  </si>
  <si>
    <t>Nothridae</t>
  </si>
  <si>
    <t>Nothrus</t>
  </si>
  <si>
    <t>Nothrus borussicus</t>
  </si>
  <si>
    <t>Nothrus palustris</t>
  </si>
  <si>
    <t>Nothrus pratensis</t>
  </si>
  <si>
    <t>Nothrus silvestris</t>
  </si>
  <si>
    <t>Trhypochthoniidae</t>
  </si>
  <si>
    <t>Afronothrus</t>
  </si>
  <si>
    <t xml:space="preserve">Afronothrus nov sp </t>
  </si>
  <si>
    <t>Allonothrus</t>
  </si>
  <si>
    <t>Allonothrus russeolus</t>
  </si>
  <si>
    <t>Krause et al. (2021), oil palm plantation</t>
  </si>
  <si>
    <t>Archegozetes</t>
  </si>
  <si>
    <t xml:space="preserve">Archegozetes longisetosus </t>
  </si>
  <si>
    <t>mosses</t>
  </si>
  <si>
    <t>Mainothrus</t>
  </si>
  <si>
    <t>Mainothrus badius</t>
  </si>
  <si>
    <t>Trhypochthoniidae</t>
    <phoneticPr fontId="1" type="noConversion"/>
  </si>
  <si>
    <t>Trhypochthoniellus</t>
    <phoneticPr fontId="1" type="noConversion"/>
  </si>
  <si>
    <t>Trhypochthoniellus longisetosus</t>
  </si>
  <si>
    <r>
      <t xml:space="preserve">Note: Based on the recalculated family-level mean isotope values for Trhypochthoniidae, </t>
    </r>
    <r>
      <rPr>
        <i/>
        <sz val="11"/>
        <color rgb="FFFF0000"/>
        <rFont val="Times New Roman"/>
        <family val="1"/>
      </rPr>
      <t>Trhypochthonius</t>
    </r>
    <r>
      <rPr>
        <sz val="11"/>
        <color rgb="FFFF0000"/>
        <rFont val="Times New Roman"/>
        <family val="1"/>
      </rPr>
      <t xml:space="preserve"> is provisionally inferred to be a fungal feeder.</t>
    </r>
    <phoneticPr fontId="1" type="noConversion"/>
  </si>
  <si>
    <t>Malaconothridae</t>
  </si>
  <si>
    <t>Malaconothrus</t>
    <phoneticPr fontId="1" type="noConversion"/>
  </si>
  <si>
    <t>Malaconothrus monodactylus</t>
  </si>
  <si>
    <t>Malaconothrus</t>
  </si>
  <si>
    <t>Trimalaconothrus</t>
  </si>
  <si>
    <t>Trimalaconothrus foveolatus</t>
  </si>
  <si>
    <t>Trimalaconothrus maior</t>
  </si>
  <si>
    <t>Trimalaconothrus sculptus</t>
  </si>
  <si>
    <t>Nanhermanniidae</t>
  </si>
  <si>
    <t>Nanhermannia</t>
  </si>
  <si>
    <t>Nanhermannia coronata</t>
  </si>
  <si>
    <t>Nanhermannia nana</t>
  </si>
  <si>
    <t>Nanhermannia sellnicki</t>
  </si>
  <si>
    <t>Hermanniodea</t>
  </si>
  <si>
    <t>Hermanniidae</t>
  </si>
  <si>
    <t>Hermannia</t>
  </si>
  <si>
    <t>Hermannia gibba</t>
  </si>
  <si>
    <t>Nae et al. (2021)</t>
  </si>
  <si>
    <t>Hermannia pulchella</t>
  </si>
  <si>
    <t>Haynert et al. (2017)</t>
  </si>
  <si>
    <t>marine algae</t>
  </si>
  <si>
    <t>Hermannia spec</t>
  </si>
  <si>
    <t>Hermanniidae</t>
    <phoneticPr fontId="1" type="noConversion"/>
  </si>
  <si>
    <t>Damaeidae</t>
    <phoneticPr fontId="1" type="noConversion"/>
  </si>
  <si>
    <t>Damaeidae</t>
  </si>
  <si>
    <t>Damaeus</t>
  </si>
  <si>
    <t>Damaeus auritus</t>
  </si>
  <si>
    <t>Damaeus clavipes</t>
  </si>
  <si>
    <t>Erdmann et al. (2007) et al. (2007)</t>
  </si>
  <si>
    <t>Damaeus firmus</t>
  </si>
  <si>
    <t>Damaeus gracilipes</t>
  </si>
  <si>
    <t>Damaeus maximus</t>
  </si>
  <si>
    <t>Damaeus onustus</t>
  </si>
  <si>
    <t>Damaeus raparius</t>
  </si>
  <si>
    <t>Kunstidamaeus</t>
  </si>
  <si>
    <t>Kunstidamaeus diversipilis</t>
  </si>
  <si>
    <t>Fischer et al. (2014), 2600 m</t>
  </si>
  <si>
    <t>Metabelba</t>
  </si>
  <si>
    <t>Metabelba pulverosa</t>
  </si>
  <si>
    <t>Metabelba sphagni</t>
  </si>
  <si>
    <t>Porobelba</t>
  </si>
  <si>
    <t>Porobelba spinosa</t>
  </si>
  <si>
    <t>Spatiodamaeus</t>
  </si>
  <si>
    <t>Spatiodamaeus verticillipes</t>
  </si>
  <si>
    <t>Erdmann et al. (2007)</t>
  </si>
  <si>
    <r>
      <t xml:space="preserve">Note: Based on the recalculated family-level mean isotope values for Damaeidae, </t>
    </r>
    <r>
      <rPr>
        <i/>
        <sz val="11"/>
        <color rgb="FFFF0000"/>
        <rFont val="Times New Roman"/>
        <family val="1"/>
      </rPr>
      <t>Epidamaeus</t>
    </r>
    <r>
      <rPr>
        <sz val="11"/>
        <color rgb="FFFF0000"/>
        <rFont val="Times New Roman"/>
        <family val="1"/>
      </rPr>
      <t xml:space="preserve"> and </t>
    </r>
    <r>
      <rPr>
        <i/>
        <sz val="11"/>
        <color rgb="FFFF0000"/>
        <rFont val="Times New Roman"/>
        <family val="1"/>
      </rPr>
      <t>Belba</t>
    </r>
    <r>
      <rPr>
        <sz val="11"/>
        <color rgb="FFFF0000"/>
        <rFont val="Times New Roman"/>
        <family val="1"/>
      </rPr>
      <t xml:space="preserve"> are provisionally inferred to be fungal feeders.</t>
    </r>
    <phoneticPr fontId="1" type="noConversion"/>
  </si>
  <si>
    <t>Astegistidae</t>
  </si>
  <si>
    <t>Cultroribula</t>
  </si>
  <si>
    <t xml:space="preserve">Cultroribula bicultrata </t>
  </si>
  <si>
    <t>Cultroribula lata</t>
  </si>
  <si>
    <t>Carabodoidea</t>
  </si>
  <si>
    <t>Carabodidae</t>
  </si>
  <si>
    <t>Carabodes</t>
  </si>
  <si>
    <t>Carabodes aereolatus</t>
  </si>
  <si>
    <t>Magilton et al. (2019) et al. (2019)</t>
  </si>
  <si>
    <t>Carabodes coriaceus</t>
  </si>
  <si>
    <t>Carabodes femoralis</t>
  </si>
  <si>
    <t>Carabodes labyrinthicus</t>
  </si>
  <si>
    <t>Carabodes marginatus</t>
  </si>
  <si>
    <t>Carabodes ornatus</t>
  </si>
  <si>
    <t>Carabodes reticulatus</t>
  </si>
  <si>
    <t>Carabodes rugosior</t>
  </si>
  <si>
    <t xml:space="preserve">Carabodes schatzi </t>
  </si>
  <si>
    <t xml:space="preserve">Carabodes willmanni </t>
  </si>
  <si>
    <t>Suctobelbidae</t>
  </si>
  <si>
    <t>Suctobelbella cf reticulata</t>
  </si>
  <si>
    <t>Suctobelbella sarekensis</t>
  </si>
  <si>
    <t>Suctobelbella spp</t>
  </si>
  <si>
    <t>Allosuctobelba</t>
  </si>
  <si>
    <t>Allosuctobelba grandis</t>
  </si>
  <si>
    <t>Oppiidae</t>
  </si>
  <si>
    <t>Multioppia</t>
  </si>
  <si>
    <t>Multioppia laniseta</t>
  </si>
  <si>
    <t>Microppia</t>
  </si>
  <si>
    <t>Microppia minus</t>
  </si>
  <si>
    <t>Oppiella</t>
  </si>
  <si>
    <t>Oppiella nova</t>
  </si>
  <si>
    <t>Oppiella propinqua</t>
  </si>
  <si>
    <t>Oppiella spec</t>
  </si>
  <si>
    <t>Oppiella subpectinata</t>
  </si>
  <si>
    <t>Oppiella translamellata</t>
  </si>
  <si>
    <t>Ramusella</t>
  </si>
  <si>
    <t>Ramusella clavipectinata</t>
  </si>
  <si>
    <t>Tectocepheoidea</t>
  </si>
  <si>
    <t>Tectocepheidae</t>
  </si>
  <si>
    <t>Tectocepheus</t>
  </si>
  <si>
    <t>Tectocepheus alatus</t>
  </si>
  <si>
    <t>Tectocepheus minor</t>
  </si>
  <si>
    <t>Tectocepheus sarekensis</t>
  </si>
  <si>
    <t>Tectocepheus spec</t>
  </si>
  <si>
    <t>Tectocepheus velatus</t>
  </si>
  <si>
    <t>Licneremaeoidea</t>
  </si>
  <si>
    <t>Passalozetidae</t>
    <phoneticPr fontId="1" type="noConversion"/>
  </si>
  <si>
    <t>Scutovertex</t>
  </si>
  <si>
    <t>Scutovertex sculptus</t>
  </si>
  <si>
    <t>Phenopelopidae</t>
    <phoneticPr fontId="1" type="noConversion"/>
  </si>
  <si>
    <t>Eupelops</t>
  </si>
  <si>
    <t>Eupelops acromios</t>
  </si>
  <si>
    <t>Phenopelopidae</t>
  </si>
  <si>
    <t>Eupelops curtilipes</t>
  </si>
  <si>
    <t>Eupelops hirtus</t>
  </si>
  <si>
    <t>Eupelops occultus</t>
  </si>
  <si>
    <t>Eupelops spec</t>
  </si>
  <si>
    <t>Eupelops tardus</t>
  </si>
  <si>
    <t xml:space="preserve">Eupelops torulosus </t>
  </si>
  <si>
    <t>Achipteriidae</t>
  </si>
  <si>
    <t>Achipteria</t>
  </si>
  <si>
    <t>Achipteria coleoptrata</t>
  </si>
  <si>
    <t>Achipteria sellnicki</t>
  </si>
  <si>
    <t>Parakalummidae</t>
    <phoneticPr fontId="1" type="noConversion"/>
  </si>
  <si>
    <t>Neoribates</t>
  </si>
  <si>
    <t xml:space="preserve">Neoribates jacoti </t>
  </si>
  <si>
    <r>
      <t xml:space="preserve">Note: Based on the recalculated family-level mean isotope values for Parakalummidae, </t>
    </r>
    <r>
      <rPr>
        <i/>
        <sz val="11"/>
        <color rgb="FFFF0000"/>
        <rFont val="Times New Roman"/>
        <family val="1"/>
      </rPr>
      <t>Protokalumma</t>
    </r>
    <r>
      <rPr>
        <sz val="11"/>
        <color rgb="FFFF0000"/>
        <rFont val="Times New Roman"/>
        <family val="1"/>
      </rPr>
      <t xml:space="preserve"> is provisionally inferred to be a fungal feeder.</t>
    </r>
    <phoneticPr fontId="1" type="noConversion"/>
  </si>
  <si>
    <t>Oribatulidae</t>
  </si>
  <si>
    <t>Oribatula</t>
  </si>
  <si>
    <t>Oribatula amblyptera</t>
  </si>
  <si>
    <t>Oribatula longelamellata</t>
  </si>
  <si>
    <t>Oribatula tibialis</t>
  </si>
  <si>
    <t>Scheloribatidae</t>
  </si>
  <si>
    <t>Scheloribates</t>
  </si>
  <si>
    <t>Scheloribates ascendens</t>
  </si>
  <si>
    <t>Scheloribates circumcarinatus</t>
  </si>
  <si>
    <t>Scheloribates fimbriatus javensis</t>
  </si>
  <si>
    <t>Scheloribates initialis</t>
  </si>
  <si>
    <t>Scheloribates laevigatus</t>
  </si>
  <si>
    <t>Scheloribates latipes</t>
  </si>
  <si>
    <t>Scheloribates pallidulus</t>
  </si>
  <si>
    <t xml:space="preserve">Scheloribates praeincisus </t>
  </si>
  <si>
    <t>Scheloribates quintus</t>
  </si>
  <si>
    <t>Mochlozetidae</t>
    <phoneticPr fontId="1" type="noConversion"/>
  </si>
  <si>
    <t>Unguizetes</t>
    <phoneticPr fontId="1" type="noConversion"/>
  </si>
  <si>
    <t xml:space="preserve">Unguizetes cattiensis </t>
  </si>
  <si>
    <t>Mochlozetidae</t>
  </si>
  <si>
    <t>Unguizetes</t>
  </si>
  <si>
    <t xml:space="preserve">Unguizetes sphaerula </t>
  </si>
  <si>
    <r>
      <t xml:space="preserve">Note: Based on the recalculated family-level mean isotope values for Mochlozetidae, </t>
    </r>
    <r>
      <rPr>
        <i/>
        <sz val="11"/>
        <color rgb="FFFF0000"/>
        <rFont val="Times New Roman"/>
        <family val="1"/>
      </rPr>
      <t>Mochlozetes</t>
    </r>
    <r>
      <rPr>
        <sz val="11"/>
        <color rgb="FFFF0000"/>
        <rFont val="Times New Roman"/>
        <family val="1"/>
      </rPr>
      <t xml:space="preserve"> is provisionally inferred to be a primary decomposer.</t>
    </r>
    <phoneticPr fontId="1" type="noConversion"/>
  </si>
  <si>
    <t>Haplozetidae</t>
  </si>
  <si>
    <t>Rostrozetes</t>
  </si>
  <si>
    <t xml:space="preserve">Rostrozetes sp </t>
  </si>
  <si>
    <t>Indoribates</t>
  </si>
  <si>
    <t xml:space="preserve">Indoribates nov sp </t>
  </si>
  <si>
    <t>Javacarus</t>
  </si>
  <si>
    <t>Javacarus jocelynae</t>
  </si>
  <si>
    <t>Magyaria</t>
  </si>
  <si>
    <t xml:space="preserve">Magyaria nov sp </t>
  </si>
  <si>
    <t>Trachyoribates</t>
  </si>
  <si>
    <t>Trachyoribates shibai</t>
  </si>
  <si>
    <t>40_Haplozetidae</t>
    <phoneticPr fontId="1" type="noConversion"/>
  </si>
  <si>
    <r>
      <t xml:space="preserve">Note: Based on the recalculated family-level mean isotope values for Haplozetidae, </t>
    </r>
    <r>
      <rPr>
        <i/>
        <sz val="11"/>
        <color rgb="FFFF0000"/>
        <rFont val="Times New Roman"/>
        <family val="1"/>
      </rPr>
      <t>Incabates</t>
    </r>
    <r>
      <rPr>
        <sz val="11"/>
        <color rgb="FFFF0000"/>
        <rFont val="Times New Roman"/>
        <family val="1"/>
      </rPr>
      <t xml:space="preserve"> and </t>
    </r>
    <r>
      <rPr>
        <i/>
        <sz val="11"/>
        <color rgb="FFFF0000"/>
        <rFont val="Times New Roman"/>
        <family val="1"/>
      </rPr>
      <t>Peloribates</t>
    </r>
    <r>
      <rPr>
        <sz val="11"/>
        <color rgb="FFFF0000"/>
        <rFont val="Times New Roman"/>
        <family val="1"/>
      </rPr>
      <t xml:space="preserve"> are provisionally inferred to be fungal feeders.</t>
    </r>
    <phoneticPr fontId="1" type="noConversion"/>
  </si>
  <si>
    <t>Ceratozetidae</t>
  </si>
  <si>
    <t>Ceratozetes</t>
    <phoneticPr fontId="1" type="noConversion"/>
  </si>
  <si>
    <t>Ceratozetes gracilis</t>
  </si>
  <si>
    <t>Ceratozetes</t>
  </si>
  <si>
    <t>Ceratozetes minutissimus</t>
  </si>
  <si>
    <t>Ceratozetes peritus</t>
  </si>
  <si>
    <t>Ceratozetes sellnicki</t>
  </si>
  <si>
    <t>Melanozetes</t>
    <phoneticPr fontId="1" type="noConversion"/>
  </si>
  <si>
    <t>Melanozetes meridionalis</t>
  </si>
  <si>
    <t>Melanozetes</t>
  </si>
  <si>
    <t>Melanozetes mollicomus</t>
  </si>
  <si>
    <t>Galumnidae</t>
  </si>
  <si>
    <t>Galumna</t>
  </si>
  <si>
    <t>Galumna corpuzrarosae</t>
  </si>
  <si>
    <t>Galumna flabellifera</t>
  </si>
  <si>
    <t>Galumna lanceata</t>
  </si>
  <si>
    <t>Galumna obvia</t>
  </si>
  <si>
    <t>Acrogalumna</t>
  </si>
  <si>
    <t>Acrogalumna longipluma</t>
  </si>
  <si>
    <t>Atypicogalumna</t>
  </si>
  <si>
    <t>Atypicogalumna corpuzrarosae</t>
  </si>
  <si>
    <t>Pergalumna</t>
  </si>
  <si>
    <t>Pergalumna altera</t>
  </si>
  <si>
    <t xml:space="preserve">Pergalumna cattienica </t>
  </si>
  <si>
    <t>Pergalumna cf annulata</t>
  </si>
  <si>
    <t xml:space="preserve">Pergalumna indistincta </t>
  </si>
  <si>
    <t>Pergalumna nervosa</t>
  </si>
  <si>
    <t>Pergalumna paraindistincta</t>
  </si>
  <si>
    <t>Pilogalumna</t>
  </si>
  <si>
    <t>Pilogalumna tenuiclava</t>
  </si>
  <si>
    <r>
      <t xml:space="preserve">Note: Based on the recalculated family-level mean isotope values for Galumnidae, </t>
    </r>
    <r>
      <rPr>
        <i/>
        <sz val="11"/>
        <color rgb="FFFF0000"/>
        <rFont val="Times New Roman"/>
        <family val="1"/>
      </rPr>
      <t>Trichogalumna</t>
    </r>
    <r>
      <rPr>
        <sz val="11"/>
        <color rgb="FFFF0000"/>
        <rFont val="Times New Roman"/>
        <family val="1"/>
      </rPr>
      <t xml:space="preserve"> is provisionally inferred to be a fungal feeder.</t>
    </r>
    <phoneticPr fontId="1" type="noConversion"/>
  </si>
  <si>
    <t>Hypochthonioidea</t>
    <phoneticPr fontId="1" type="noConversion"/>
  </si>
  <si>
    <t>Mesoplophoridae</t>
    <phoneticPr fontId="1" type="noConversion"/>
  </si>
  <si>
    <t xml:space="preserve">Archoplophora laevis </t>
  </si>
  <si>
    <t>parthen</t>
  </si>
  <si>
    <t>Eohypochthonius crassisetiger</t>
  </si>
  <si>
    <t>Eohypochthonius salicifolius</t>
  </si>
  <si>
    <t>Lohmannia hungarorum</t>
    <phoneticPr fontId="1" type="noConversion"/>
  </si>
  <si>
    <t>Papillacarus hirsutus</t>
    <phoneticPr fontId="1" type="noConversion"/>
  </si>
  <si>
    <t>Papillacarus sp 1</t>
  </si>
  <si>
    <t xml:space="preserve">Papillacarus polygonatus </t>
  </si>
  <si>
    <t>Papillacarus pseudoaciculatus</t>
  </si>
  <si>
    <t>Papillacarus ramosus</t>
  </si>
  <si>
    <t xml:space="preserve">Eulohmannia ribagai </t>
  </si>
  <si>
    <t xml:space="preserve">Epilohmannia (pallida) minuta </t>
  </si>
  <si>
    <t>Epilohmannia crassisetosa</t>
  </si>
  <si>
    <t>sex</t>
  </si>
  <si>
    <t>Epilohmannia cyl. minima</t>
  </si>
  <si>
    <t>Epilohmannia cylindrica</t>
  </si>
  <si>
    <t>Epilohmannia minuta pacifica</t>
  </si>
  <si>
    <t>Acrotritia (Rhy) ardua</t>
  </si>
  <si>
    <t>Acrotritia (Rhy) duplicata</t>
  </si>
  <si>
    <t>Acrotritia hauseri</t>
  </si>
  <si>
    <t>Acrotritia sp. 1</t>
  </si>
  <si>
    <t>Notes: published sources indicate that Acrotritia is predominantly parthenogenetic, and we therefore coded this sample as predominantly parthenogenetic.</t>
    <phoneticPr fontId="1" type="noConversion"/>
  </si>
  <si>
    <t>Phthiracarus (Archiphthiracarus) sp</t>
  </si>
  <si>
    <t>Phthiracarus bryobius</t>
  </si>
  <si>
    <t>Phthiracarus clavatus</t>
  </si>
  <si>
    <t>Phthiracarus crassus</t>
  </si>
  <si>
    <t>Phthiracarus ferrugienus</t>
  </si>
  <si>
    <t>Phthiracarus globosus</t>
  </si>
  <si>
    <t xml:space="preserve">Phthiracarus italicus </t>
  </si>
  <si>
    <t>Phthiracarus lentulus</t>
  </si>
  <si>
    <t>Phthiracarus longulus</t>
  </si>
  <si>
    <t>Phthiracarus nitens</t>
  </si>
  <si>
    <t>Phthiracarus sp. 1</t>
  </si>
  <si>
    <t>Phthiracarus sp. 2</t>
  </si>
  <si>
    <t>Phthiracarus sp. 3</t>
  </si>
  <si>
    <t>Phthiracarus sp. 4</t>
  </si>
  <si>
    <t>Phthiracarus sp. 5</t>
  </si>
  <si>
    <t>Phthiracarus sp. 6</t>
  </si>
  <si>
    <t>Phthiracarus spp.</t>
  </si>
  <si>
    <t>Atropacarus striculus</t>
  </si>
  <si>
    <t>Camisiidae/Crotoniidae</t>
  </si>
  <si>
    <t>Camisa sp.</t>
  </si>
  <si>
    <t>Camisia (Ensicamisia) lapponica</t>
  </si>
  <si>
    <t>Camisia cf hamulifera</t>
  </si>
  <si>
    <t>Camisia invenusta</t>
  </si>
  <si>
    <t>Camisia khencensis</t>
  </si>
  <si>
    <t>Camisia solhoeyi</t>
  </si>
  <si>
    <t>Heminothrus ornatissimus</t>
  </si>
  <si>
    <t>Platynothrus punctatus</t>
  </si>
  <si>
    <t>parthen</t>
    <phoneticPr fontId="1" type="noConversion"/>
  </si>
  <si>
    <t>Platynothrus sp.</t>
  </si>
  <si>
    <t>Crotonioidea</t>
    <phoneticPr fontId="2" type="noConversion"/>
  </si>
  <si>
    <t>Nothrus anauniensis</t>
  </si>
  <si>
    <t>Nothrus cf willmannii</t>
  </si>
  <si>
    <t>Nothrus shapensis</t>
  </si>
  <si>
    <t>Nothrus silvicus</t>
  </si>
  <si>
    <t>Trhypochthonius americanus</t>
  </si>
  <si>
    <t>Trhypochthonius tectorum</t>
  </si>
  <si>
    <t>Archegozetes longisetosus</t>
  </si>
  <si>
    <t>Crotonioidea</t>
    <phoneticPr fontId="1" type="noConversion"/>
  </si>
  <si>
    <t>Malaconothridae</t>
    <phoneticPr fontId="1" type="noConversion"/>
  </si>
  <si>
    <t>Malaconothrus cf  dipankari</t>
  </si>
  <si>
    <t>Malaconothrus cf angulatus</t>
  </si>
  <si>
    <t>Malaconothrus dorsofoveolatus</t>
  </si>
  <si>
    <t>Malaconothrus geminus</t>
  </si>
  <si>
    <t>Malaconothrus gracilis</t>
  </si>
  <si>
    <t>Malaconothrus sp 1</t>
  </si>
  <si>
    <t>Malaconothrus sp 2</t>
  </si>
  <si>
    <t>Malaconothrus sp 3</t>
  </si>
  <si>
    <t>Malaconothrus sp 4</t>
  </si>
  <si>
    <t>Malaconothrus sp 5</t>
  </si>
  <si>
    <t>Tyrphonothrus cf. cordisetus</t>
  </si>
  <si>
    <t>Tyrphonothrus foveolatus</t>
  </si>
  <si>
    <t>Tyrphonothrus maior</t>
  </si>
  <si>
    <t>Tyrphonothrus saxosus</t>
  </si>
  <si>
    <t>Tyrphonothrus sp</t>
  </si>
  <si>
    <t>Note: because Trimalaconothrus belongs to Malaconothridae, we used the family-level reproductive evidence as a proxy and provisionally coded Trimalaconothrus as parthenogenetic.</t>
    <phoneticPr fontId="1" type="noConversion"/>
  </si>
  <si>
    <t>Nanhermannia dorsalis</t>
  </si>
  <si>
    <t>Nanhermannia elegantissima</t>
  </si>
  <si>
    <t>Nanhermannia elegantula</t>
  </si>
  <si>
    <t>Nanhermannia sp. 1</t>
  </si>
  <si>
    <t>Nanhermannia sp. 2</t>
  </si>
  <si>
    <t>Hermannia (Phyllhermannia) gladiata</t>
  </si>
  <si>
    <t>Hermannia (Phyllhermannia) similis</t>
  </si>
  <si>
    <t>Hermannia convexa</t>
  </si>
  <si>
    <t>Hermannia reticulata</t>
  </si>
  <si>
    <t>Hermannia sp 1</t>
  </si>
  <si>
    <t>Hermannia sp 2</t>
  </si>
  <si>
    <t>Hermannia sp.</t>
  </si>
  <si>
    <t>Hermannia subgl/pulch</t>
  </si>
  <si>
    <t>Epidamaeus bituberculatus</t>
  </si>
  <si>
    <t>Epidamaeus meridiana</t>
  </si>
  <si>
    <t>Epidamaeus setiger</t>
  </si>
  <si>
    <t>Epidamaeus sp.</t>
  </si>
  <si>
    <t>Belba bartoši</t>
  </si>
  <si>
    <t>Belba cf. meridionalis</t>
  </si>
  <si>
    <t>Belba sp.</t>
  </si>
  <si>
    <t xml:space="preserve">Cultroribula berolina </t>
  </si>
  <si>
    <t>Cultroribula bicultrata</t>
  </si>
  <si>
    <t xml:space="preserve">Cultroribula divergens </t>
  </si>
  <si>
    <t xml:space="preserve">Cultroribula juncta </t>
  </si>
  <si>
    <t xml:space="preserve">Cultroribula lata </t>
  </si>
  <si>
    <t>Cultroribula zicsii</t>
  </si>
  <si>
    <t>Carabodes (Klapperiches) samoensis</t>
  </si>
  <si>
    <t xml:space="preserve">Carabodes areolatus </t>
  </si>
  <si>
    <t>Carabodes cf samoensis</t>
  </si>
  <si>
    <t>Carabodes sp.</t>
  </si>
  <si>
    <t>Carabodes subarcticus</t>
  </si>
  <si>
    <t>Carabodes willmanni</t>
  </si>
  <si>
    <t>Suctobelbella (Flagrosuctobelba) elegantula</t>
  </si>
  <si>
    <t>Suctobelbella (Flagrosuctobelba) semiplumosa</t>
  </si>
  <si>
    <t>Suctobelbella (Ussuribata) variosetosa</t>
  </si>
  <si>
    <t>Suctobelbella acutidens</t>
  </si>
  <si>
    <t>Suctobelbella andrassyi</t>
  </si>
  <si>
    <t>Suctobelbella baculifera</t>
  </si>
  <si>
    <t>Suctobelbella cf claviseta</t>
  </si>
  <si>
    <t>Suctobelbella cf complexa</t>
  </si>
  <si>
    <t>Suctobelbella complexa</t>
  </si>
  <si>
    <t>Suctobelbella duplex</t>
  </si>
  <si>
    <t>Suctobelbella falcata</t>
  </si>
  <si>
    <t>Suctobelbella forsslundi</t>
  </si>
  <si>
    <t xml:space="preserve">Suctobelbella hamata </t>
  </si>
  <si>
    <t>Suctobelbella hurshi</t>
  </si>
  <si>
    <t xml:space="preserve">Suctobelbella laevis </t>
  </si>
  <si>
    <t>Suctobelbella loksai</t>
  </si>
  <si>
    <t>Suctobelbella palustris</t>
  </si>
  <si>
    <t>Suctobelbella parallelodentata</t>
  </si>
  <si>
    <t>Suctobelbella peracuta</t>
  </si>
  <si>
    <t>Suctobelbella perfurata</t>
  </si>
  <si>
    <t>Suctobelbella phylliformis</t>
  </si>
  <si>
    <t>Suctobelbella pilifera</t>
  </si>
  <si>
    <t>Suctobelbella plumata</t>
  </si>
  <si>
    <t>Suctobelbella semiplumosa bombuscarii</t>
  </si>
  <si>
    <t>Suctobelbella sicilifera</t>
  </si>
  <si>
    <t>Suctobelbella similis</t>
  </si>
  <si>
    <t>Suctobelbella sp 1</t>
  </si>
  <si>
    <t>Suctobelbella sp 2</t>
  </si>
  <si>
    <t>Suctobelbella sp 3</t>
  </si>
  <si>
    <t>Suctobelbella sp 4</t>
  </si>
  <si>
    <t>Suctobelbella sp 5</t>
  </si>
  <si>
    <t>Suctobelbella subcornigera</t>
  </si>
  <si>
    <t xml:space="preserve">Suctobelbella tuberculata </t>
  </si>
  <si>
    <t>Suctobelbella variosetosa</t>
  </si>
  <si>
    <t xml:space="preserve">Suctobelbella vera </t>
  </si>
  <si>
    <t>Allosuctobelba obtusa</t>
  </si>
  <si>
    <t>Multioppia insularis</t>
  </si>
  <si>
    <t>Multioppia sp 1</t>
  </si>
  <si>
    <t>Multioppia tamdao</t>
  </si>
  <si>
    <t>Multioppia wilsoni wilsoni</t>
  </si>
  <si>
    <t xml:space="preserve">Microppia minus </t>
  </si>
  <si>
    <t>Oppiella acuminata</t>
  </si>
  <si>
    <t>Oppiella fallax</t>
  </si>
  <si>
    <t>Oppiella minutissima</t>
  </si>
  <si>
    <t xml:space="preserve">Oppiella nova </t>
    <phoneticPr fontId="1" type="noConversion"/>
  </si>
  <si>
    <t>Oppiella sigma</t>
  </si>
  <si>
    <t>Oppiella unicarinata</t>
  </si>
  <si>
    <t>Note: given that microscopic identification showed Oppiella nova as the dominant species in our material, we coded this sample as predominantly parthenogenetic.</t>
    <phoneticPr fontId="1" type="noConversion"/>
  </si>
  <si>
    <t>Ramusella chulumaniensis</t>
  </si>
  <si>
    <t>Ramusella elliptica</t>
  </si>
  <si>
    <t>Ramusella furcata</t>
  </si>
  <si>
    <t>Ramusella insculpta</t>
  </si>
  <si>
    <t>Ramusella mihelcici</t>
  </si>
  <si>
    <t>Ramusella sahariensis</t>
  </si>
  <si>
    <t>Ramusella sp. 1</t>
  </si>
  <si>
    <t>Ramusella terricola</t>
  </si>
  <si>
    <t>Tectocepheus minor komplex</t>
  </si>
  <si>
    <t>Tectocepheus sp.</t>
  </si>
  <si>
    <t>Tectocepheus velatus sarekensis</t>
  </si>
  <si>
    <t>Tectocepheus velatus velatus</t>
  </si>
  <si>
    <t>Eupelobs/Peloptulus phaenotus</t>
  </si>
  <si>
    <t>Eupelops claviger</t>
  </si>
  <si>
    <t>Eupelops plicatus</t>
  </si>
  <si>
    <t>Eupelops subuliger</t>
  </si>
  <si>
    <t>Eupelops torulosus</t>
  </si>
  <si>
    <t>Eupleops occultus</t>
  </si>
  <si>
    <t>Achipteria elegans</t>
  </si>
  <si>
    <t>Achipteria ellnicki</t>
  </si>
  <si>
    <t>Achipteria nitens</t>
  </si>
  <si>
    <t xml:space="preserve">Achipteria sp. </t>
  </si>
  <si>
    <t>Neoribates aurantiacus</t>
  </si>
  <si>
    <t>Neoribates insignificans</t>
  </si>
  <si>
    <t>Neoribates jacoti</t>
  </si>
  <si>
    <t>Neoribates paratuberculatus</t>
  </si>
  <si>
    <t>Neoribates sp 1</t>
  </si>
  <si>
    <t>Neoribates sp 2</t>
  </si>
  <si>
    <t xml:space="preserve">Neoribates spindleformis </t>
  </si>
  <si>
    <t xml:space="preserve">Protokalumma salicis </t>
    <phoneticPr fontId="1" type="noConversion"/>
  </si>
  <si>
    <t>Oribatula interrupta</t>
    <phoneticPr fontId="1" type="noConversion"/>
  </si>
  <si>
    <t>Oribatula interrupta sitnikovae</t>
  </si>
  <si>
    <t>Oribatula pannonica</t>
  </si>
  <si>
    <t>Oribatula sp 1</t>
  </si>
  <si>
    <t xml:space="preserve">Oribatula tibialis </t>
  </si>
  <si>
    <t>Scheloribates (Bischeloribates) spp</t>
  </si>
  <si>
    <t>Scheloribates (Grandjeanobates) cf laticlava</t>
  </si>
  <si>
    <t>Scheloribates (Hemileius )initialis</t>
  </si>
  <si>
    <t>Scheloribates (huancayensis)</t>
  </si>
  <si>
    <t>Scheloribates (Ischeloribates) cf. luminosus</t>
  </si>
  <si>
    <t>Scheloribates cf fimbriatus</t>
  </si>
  <si>
    <t>Scheloribates cf praeincisus sp 1</t>
  </si>
  <si>
    <t>Scheloribates cf praeincisus sp. 2</t>
  </si>
  <si>
    <t>Scheloribates cf. barbatulus</t>
  </si>
  <si>
    <t>Scheloribates elegans</t>
  </si>
  <si>
    <t>Scheloribates elegantulus</t>
  </si>
  <si>
    <t xml:space="preserve">Scheloribates kraepelini </t>
  </si>
  <si>
    <t xml:space="preserve">Scheloribates laevigatus </t>
  </si>
  <si>
    <t>Scheloribates lanceoliger</t>
  </si>
  <si>
    <t>Scheloribates luteomarginatus</t>
  </si>
  <si>
    <t xml:space="preserve">Scheloribates mahunkai </t>
  </si>
  <si>
    <t xml:space="preserve">Scheloribates pallidulus </t>
  </si>
  <si>
    <t>Scheloribates sp.</t>
  </si>
  <si>
    <t>Scheloribates sp. 1</t>
  </si>
  <si>
    <t>Scheloribates sp. 2</t>
  </si>
  <si>
    <t>Scheloribates sp. 3</t>
  </si>
  <si>
    <t>Scheloribates vulgaris</t>
  </si>
  <si>
    <t>Mochlozetes cf chambrieri</t>
  </si>
  <si>
    <t xml:space="preserve">Mochlozetes ryukyuensis </t>
  </si>
  <si>
    <t>Rostrozetes carinatus</t>
  </si>
  <si>
    <t>Rostrozetes cf florens</t>
  </si>
  <si>
    <t>Rostrozetes cf nebulosus</t>
  </si>
  <si>
    <t>Rostrozetes cf shibai</t>
  </si>
  <si>
    <t>Rostrozetes ovulum</t>
  </si>
  <si>
    <t>Rostrozetes ovulum sp 1</t>
  </si>
  <si>
    <t>Rostrozetes ovulum sp 2</t>
  </si>
  <si>
    <t>Rostrozetes ovulum sp 3</t>
  </si>
  <si>
    <t>Rostrozetes ovulum sp 4</t>
  </si>
  <si>
    <t>Rostrozetes shibai</t>
  </si>
  <si>
    <t>Rostrozetes sp 1</t>
  </si>
  <si>
    <t>Rostrozetes sp 2</t>
  </si>
  <si>
    <t>Rostrozetes sp 3</t>
  </si>
  <si>
    <t>Rostrozetes sp 4</t>
  </si>
  <si>
    <t>Rostrozetes sp 5</t>
  </si>
  <si>
    <t>Rostrozetes sp 6</t>
  </si>
  <si>
    <t>Rostrozetes sp 7</t>
  </si>
  <si>
    <t>Rostrozetes sphaerica</t>
  </si>
  <si>
    <t>Note: microscopic examination of our material identified male individuals, and this sample was provisionally coded as predominantly sexual.</t>
    <phoneticPr fontId="1" type="noConversion"/>
  </si>
  <si>
    <t>Haplozetidae</t>
    <phoneticPr fontId="1" type="noConversion"/>
  </si>
  <si>
    <t xml:space="preserve">Peloribates cf. europaeus </t>
  </si>
  <si>
    <t>Peloribates glaber</t>
  </si>
  <si>
    <t>Peloribates kaszabi</t>
  </si>
  <si>
    <t>Peloribates rangiroaensis</t>
  </si>
  <si>
    <t>Peloribates sp 1</t>
  </si>
  <si>
    <t>Peloribates stellatus</t>
  </si>
  <si>
    <t>Peloribates tunisensis</t>
  </si>
  <si>
    <t xml:space="preserve">Ceratozetes cf. pacificus </t>
  </si>
  <si>
    <t>Ceratozetes mediocris</t>
  </si>
  <si>
    <t>Ceratozetes minimus</t>
  </si>
  <si>
    <t>Ceratozetes nigrisetosus</t>
  </si>
  <si>
    <t>Melanozetes sp 1</t>
  </si>
  <si>
    <t>Galumna alata</t>
  </si>
  <si>
    <t>Galumna bidentatirostris</t>
  </si>
  <si>
    <t>Galumna calva</t>
  </si>
  <si>
    <t>Galumna dimorpha</t>
  </si>
  <si>
    <t>Galumna dispar</t>
  </si>
  <si>
    <t>Galumna indonesica</t>
  </si>
  <si>
    <t xml:space="preserve">Galumna ithacensis </t>
  </si>
  <si>
    <t>Galumna khoii</t>
  </si>
  <si>
    <t>Galumna levisensilla</t>
  </si>
  <si>
    <t>Galumna mikoi</t>
  </si>
  <si>
    <t>Galumna miniporosa</t>
  </si>
  <si>
    <t>Galumna paracalcicola</t>
  </si>
  <si>
    <t>Galumna parakazakhstani</t>
  </si>
  <si>
    <t xml:space="preserve">Galumna pseudokhoii </t>
  </si>
  <si>
    <t>Galumna sabahna</t>
  </si>
  <si>
    <t>Galumna sp 1</t>
  </si>
  <si>
    <t>Trichogalumna nipponica</t>
  </si>
  <si>
    <t xml:space="preserve">Pergalumna altera </t>
  </si>
  <si>
    <t>Pergalumna cattienica</t>
  </si>
  <si>
    <t>Pergalumna cf corniculata</t>
  </si>
  <si>
    <t>Pergalumna cf petrichosa</t>
  </si>
  <si>
    <t xml:space="preserve">Pergalumna formicaria </t>
  </si>
  <si>
    <t>Pergalumna hauseri</t>
  </si>
  <si>
    <t>Pergalumna hawaiiensis hawaiiensis</t>
  </si>
  <si>
    <t>Pergalumna indistincta</t>
  </si>
  <si>
    <t xml:space="preserve">Pergalumna kotschyi </t>
  </si>
  <si>
    <t>Pergalumna margaritata</t>
  </si>
  <si>
    <t>Pergalumna panayensis</t>
  </si>
  <si>
    <t>Pergalumna pseudosejugalis</t>
  </si>
  <si>
    <t>Pergalumna pterinervis</t>
  </si>
  <si>
    <t>Pergalumna willmanni</t>
  </si>
  <si>
    <t>none</t>
    <phoneticPr fontId="1" type="noConversion"/>
  </si>
  <si>
    <t>fungal_feeder</t>
    <phoneticPr fontId="1" type="noConversion"/>
  </si>
  <si>
    <t>predator</t>
    <phoneticPr fontId="1" type="noConversion"/>
  </si>
  <si>
    <t>primary_decomposer</t>
    <phoneticPr fontId="1" type="noConversion"/>
  </si>
  <si>
    <t>humeral_projection</t>
    <phoneticPr fontId="1" type="noConversion"/>
  </si>
  <si>
    <t>movable_pteromorph</t>
  </si>
  <si>
    <t>fixed_pteromorph</t>
  </si>
  <si>
    <t xml:space="preserve">Type </t>
    <phoneticPr fontId="1" type="noConversion"/>
  </si>
  <si>
    <t>Sites</t>
  </si>
  <si>
    <t>Plots</t>
  </si>
  <si>
    <t>Lng</t>
  </si>
  <si>
    <t>Lat</t>
  </si>
  <si>
    <t>Alt</t>
  </si>
  <si>
    <t>Temp</t>
  </si>
  <si>
    <t>RH</t>
  </si>
  <si>
    <t>pH</t>
  </si>
  <si>
    <t>Cond</t>
  </si>
  <si>
    <t>OC</t>
  </si>
  <si>
    <t>TN</t>
  </si>
  <si>
    <t>TP</t>
  </si>
  <si>
    <t>MTC</t>
  </si>
  <si>
    <t>MTN</t>
  </si>
  <si>
    <t>MTP</t>
  </si>
  <si>
    <t>Chl_a</t>
  </si>
  <si>
    <t>Chl_b</t>
  </si>
  <si>
    <t>MDA</t>
  </si>
  <si>
    <t>TSS</t>
  </si>
  <si>
    <t>POD</t>
  </si>
  <si>
    <t>SOD</t>
  </si>
  <si>
    <t>CAT</t>
  </si>
  <si>
    <t>A</t>
    <phoneticPr fontId="1" type="noConversion"/>
  </si>
  <si>
    <t>A</t>
  </si>
  <si>
    <t>B</t>
  </si>
  <si>
    <t>C</t>
  </si>
  <si>
    <t>D</t>
  </si>
  <si>
    <t>E</t>
  </si>
  <si>
    <t>1_D. pusillum</t>
  </si>
  <si>
    <t>2_D. brevidens</t>
  </si>
  <si>
    <t>3_D. pallidum</t>
  </si>
  <si>
    <t>4_D. capillaceum</t>
  </si>
  <si>
    <t xml:space="preserve">5_D. heteromalla </t>
  </si>
  <si>
    <t>6_D. varia</t>
  </si>
  <si>
    <t xml:space="preserve">7_D. drummondii </t>
  </si>
  <si>
    <t xml:space="preserve">8_D. fragilifolium </t>
  </si>
  <si>
    <t>9_C. aureus</t>
  </si>
  <si>
    <t>10_C. flexuosus</t>
  </si>
  <si>
    <t xml:space="preserve">11_A. stracheyanum </t>
  </si>
  <si>
    <t xml:space="preserve">12_G. aurantiacum </t>
  </si>
  <si>
    <t>13_G. anoectangioide</t>
  </si>
  <si>
    <t>14_H. recurvirostrum</t>
  </si>
  <si>
    <t xml:space="preserve">15_G. brevicaulis </t>
  </si>
  <si>
    <t>16_G. yunnanensis</t>
  </si>
  <si>
    <t>17_B. kashmirense</t>
  </si>
  <si>
    <t>18_B. caespiticium</t>
  </si>
  <si>
    <t>19_B. blindii</t>
  </si>
  <si>
    <t>20_B. cellulare</t>
  </si>
  <si>
    <t>21_B. bornholmense</t>
  </si>
  <si>
    <t>22_B. handelii</t>
  </si>
  <si>
    <t>23_B. pseudotriquetrum</t>
  </si>
  <si>
    <t>24_M. thomsonii</t>
  </si>
  <si>
    <t>25_P. rostratum</t>
  </si>
  <si>
    <t>26_P. cuspidatum</t>
  </si>
  <si>
    <t>27_T. ussuriensis</t>
  </si>
  <si>
    <t>28_L. austroalpinum</t>
  </si>
  <si>
    <t>29_T. delicatulum</t>
  </si>
  <si>
    <t>30_T. cymbifolium</t>
  </si>
  <si>
    <t>31_B. molkenboeri</t>
  </si>
  <si>
    <t xml:space="preserve">32_C. filicinum </t>
  </si>
  <si>
    <t>33_D. aduncus</t>
  </si>
  <si>
    <t>34_ D. vernicosus</t>
  </si>
  <si>
    <t>35_B. populeum</t>
  </si>
  <si>
    <t>36_C. cirrosum</t>
  </si>
  <si>
    <t>37_S. subpinnatum</t>
  </si>
  <si>
    <t>38_S. subhumile</t>
  </si>
  <si>
    <t>39_B. erythrocaulis</t>
  </si>
  <si>
    <t>40_H. oldhamii</t>
  </si>
  <si>
    <t>41_H. hamulosum</t>
  </si>
  <si>
    <t>1_Archoplophora</t>
    <phoneticPr fontId="2" type="noConversion"/>
  </si>
  <si>
    <t>2_Eohypochthonius</t>
    <phoneticPr fontId="1" type="noConversion"/>
  </si>
  <si>
    <t>3_Hypochthonius</t>
    <phoneticPr fontId="1" type="noConversion"/>
  </si>
  <si>
    <t>4_Eniochthonius</t>
    <phoneticPr fontId="1" type="noConversion"/>
  </si>
  <si>
    <t>10_Acrotritia</t>
  </si>
  <si>
    <t>12_Atropacarus</t>
  </si>
  <si>
    <t>14_Heminothrus</t>
  </si>
  <si>
    <t>15_Platynothrus</t>
  </si>
  <si>
    <t>18_Archegozetes</t>
  </si>
  <si>
    <t>19_Malaconothrus</t>
  </si>
  <si>
    <t>20_Trimalaconothrus</t>
  </si>
  <si>
    <t>24_Belba</t>
  </si>
  <si>
    <t>43_Incabates</t>
  </si>
  <si>
    <t>44_Peloribates</t>
  </si>
  <si>
    <t>47_Galumna</t>
  </si>
  <si>
    <t>48_Trichogalumna</t>
  </si>
  <si>
    <t>49_Pergalumna</t>
  </si>
  <si>
    <t>1_Archoplophora</t>
    <phoneticPr fontId="1" type="noConversion"/>
  </si>
  <si>
    <t>1_Mesoplophoridae</t>
    <phoneticPr fontId="2" type="noConversion"/>
  </si>
  <si>
    <t>2_Hypochthoniidae</t>
    <phoneticPr fontId="1" type="noConversion"/>
  </si>
  <si>
    <t>3_Eniochthoniidae</t>
    <phoneticPr fontId="1" type="noConversion"/>
  </si>
  <si>
    <t>5_Lohmannia</t>
    <phoneticPr fontId="1" type="noConversion"/>
  </si>
  <si>
    <t>6_Papillacarus</t>
    <phoneticPr fontId="1" type="noConversion"/>
  </si>
  <si>
    <t>4_Lohmanniidae</t>
    <phoneticPr fontId="2" type="noConversion"/>
  </si>
  <si>
    <t>7_Eulohmannia</t>
    <phoneticPr fontId="1" type="noConversion"/>
  </si>
  <si>
    <t>5_Eulohmanniidae</t>
    <phoneticPr fontId="2" type="noConversion"/>
  </si>
  <si>
    <t>8_Epilohmannia</t>
    <phoneticPr fontId="1" type="noConversion"/>
  </si>
  <si>
    <t>6_Epilohmanniidae</t>
    <phoneticPr fontId="2" type="noConversion"/>
  </si>
  <si>
    <t>9_Microtritia</t>
    <phoneticPr fontId="1" type="noConversion"/>
  </si>
  <si>
    <t>7_Euphthiracaridae</t>
    <phoneticPr fontId="2" type="noConversion"/>
  </si>
  <si>
    <t>11_Phthiracarus</t>
    <phoneticPr fontId="1" type="noConversion"/>
  </si>
  <si>
    <t>8_Phthiracaridae</t>
    <phoneticPr fontId="2" type="noConversion"/>
  </si>
  <si>
    <t>13_Camisia</t>
    <phoneticPr fontId="1" type="noConversion"/>
  </si>
  <si>
    <t>16_Nothrus</t>
    <phoneticPr fontId="1" type="noConversion"/>
  </si>
  <si>
    <t>17_Trhypochthonius</t>
    <phoneticPr fontId="1" type="noConversion"/>
  </si>
  <si>
    <t>9_Camisiidae</t>
    <phoneticPr fontId="2" type="noConversion"/>
  </si>
  <si>
    <t>10_Nothridae</t>
    <phoneticPr fontId="2" type="noConversion"/>
  </si>
  <si>
    <t>11_Trhypochthoniidae</t>
    <phoneticPr fontId="2" type="noConversion"/>
  </si>
  <si>
    <t>12_Malaconothridae</t>
    <phoneticPr fontId="2" type="noConversion"/>
  </si>
  <si>
    <t>21_Nanhermannia</t>
    <phoneticPr fontId="1" type="noConversion"/>
  </si>
  <si>
    <t>13_Nanhermanniidae</t>
    <phoneticPr fontId="2" type="noConversion"/>
  </si>
  <si>
    <t>22_Hermannia</t>
    <phoneticPr fontId="1" type="noConversion"/>
  </si>
  <si>
    <t>14_Hermanniidae</t>
    <phoneticPr fontId="2" type="noConversion"/>
  </si>
  <si>
    <t>23_Epidamaeus</t>
    <phoneticPr fontId="1" type="noConversion"/>
  </si>
  <si>
    <t>15_ Damaeidae</t>
    <phoneticPr fontId="2" type="noConversion"/>
  </si>
  <si>
    <t>25_Cultroribula</t>
    <phoneticPr fontId="1" type="noConversion"/>
  </si>
  <si>
    <t>16_Astegistidae</t>
    <phoneticPr fontId="2" type="noConversion"/>
  </si>
  <si>
    <t>26_Carabodes</t>
    <phoneticPr fontId="1" type="noConversion"/>
  </si>
  <si>
    <t>17_Carabodidae</t>
    <phoneticPr fontId="2" type="noConversion"/>
  </si>
  <si>
    <t>27_Suctobelbella</t>
    <phoneticPr fontId="1" type="noConversion"/>
  </si>
  <si>
    <t>29_Multioppia</t>
    <phoneticPr fontId="1" type="noConversion"/>
  </si>
  <si>
    <t>18_Suctobelbidae</t>
    <phoneticPr fontId="2" type="noConversion"/>
  </si>
  <si>
    <t>19_Oppiidae</t>
    <phoneticPr fontId="2" type="noConversion"/>
  </si>
  <si>
    <t>30_Microppia</t>
    <phoneticPr fontId="1" type="noConversion"/>
  </si>
  <si>
    <t>31_Oppiella</t>
    <phoneticPr fontId="1" type="noConversion"/>
  </si>
  <si>
    <t>32_Ramusella</t>
    <phoneticPr fontId="1" type="noConversion"/>
  </si>
  <si>
    <t>33_Tectocepheus</t>
    <phoneticPr fontId="1" type="noConversion"/>
  </si>
  <si>
    <t>20_Tectocepheidae</t>
    <phoneticPr fontId="2" type="noConversion"/>
  </si>
  <si>
    <t>34_Scutovertex</t>
    <phoneticPr fontId="1" type="noConversion"/>
  </si>
  <si>
    <t>21_Passalozetidae</t>
    <phoneticPr fontId="2" type="noConversion"/>
  </si>
  <si>
    <t>35_Eupelops</t>
    <phoneticPr fontId="1" type="noConversion"/>
  </si>
  <si>
    <t>22_Phenopelopidae</t>
    <phoneticPr fontId="1" type="noConversion"/>
  </si>
  <si>
    <t>23_Achipteriidae</t>
    <phoneticPr fontId="2" type="noConversion"/>
  </si>
  <si>
    <t>24_Parakalummidae</t>
    <phoneticPr fontId="2" type="noConversion"/>
  </si>
  <si>
    <t>37_Neoribates</t>
    <phoneticPr fontId="1" type="noConversion"/>
  </si>
  <si>
    <t>36_Achipteria</t>
    <phoneticPr fontId="1" type="noConversion"/>
  </si>
  <si>
    <t>38_Protokalumma</t>
    <phoneticPr fontId="1" type="noConversion"/>
  </si>
  <si>
    <t>39_Oribatula</t>
    <phoneticPr fontId="1" type="noConversion"/>
  </si>
  <si>
    <t>40_Scheloribates</t>
    <phoneticPr fontId="1" type="noConversion"/>
  </si>
  <si>
    <t>41_Mochlozetes</t>
    <phoneticPr fontId="1" type="noConversion"/>
  </si>
  <si>
    <t>25_Oribatulidae</t>
    <phoneticPr fontId="2" type="noConversion"/>
  </si>
  <si>
    <t>26_Scheloribatidae</t>
    <phoneticPr fontId="2" type="noConversion"/>
  </si>
  <si>
    <t>27_Mochlozetidae</t>
    <phoneticPr fontId="2" type="noConversion"/>
  </si>
  <si>
    <t>42_Rostrozetes</t>
    <phoneticPr fontId="1" type="noConversion"/>
  </si>
  <si>
    <t>28_Haplozetidae</t>
    <phoneticPr fontId="2" type="noConversion"/>
  </si>
  <si>
    <t>45_Ceratozetes</t>
    <phoneticPr fontId="1" type="noConversion"/>
  </si>
  <si>
    <t>46_Melanozetes</t>
    <phoneticPr fontId="1" type="noConversion"/>
  </si>
  <si>
    <t>29_Ceratozetidae</t>
    <phoneticPr fontId="2" type="noConversion"/>
  </si>
  <si>
    <t>30_Galumnidae</t>
    <phoneticPr fontId="2" type="noConversion"/>
  </si>
  <si>
    <t>(2) Lohmannioidea</t>
    <phoneticPr fontId="2" type="noConversion"/>
  </si>
  <si>
    <t>(3) Eulohmannioidea</t>
    <phoneticPr fontId="2" type="noConversion"/>
  </si>
  <si>
    <t>(4) Epilohmannioidea</t>
    <phoneticPr fontId="2" type="noConversion"/>
  </si>
  <si>
    <t>(5) Euphthiracaroidea</t>
    <phoneticPr fontId="2" type="noConversion"/>
  </si>
  <si>
    <t>(6) Phthiracaroidea</t>
    <phoneticPr fontId="2" type="noConversion"/>
  </si>
  <si>
    <t>(7) Crotonioidea</t>
    <phoneticPr fontId="2" type="noConversion"/>
  </si>
  <si>
    <t>Eniochthoniidae</t>
    <phoneticPr fontId="1" type="noConversion"/>
  </si>
  <si>
    <t>10_Acrotritia</t>
    <phoneticPr fontId="1" type="noConversion"/>
  </si>
  <si>
    <t>12_Atropacarus</t>
    <phoneticPr fontId="1" type="noConversion"/>
  </si>
  <si>
    <t>14_Heminothrus</t>
    <phoneticPr fontId="1" type="noConversion"/>
  </si>
  <si>
    <t>15_Platynothrus</t>
    <phoneticPr fontId="2" type="noConversion"/>
  </si>
  <si>
    <t>18_Archegozetes</t>
    <phoneticPr fontId="1" type="noConversion"/>
  </si>
  <si>
    <t>19_Malaconothrus</t>
    <phoneticPr fontId="2" type="noConversion"/>
  </si>
  <si>
    <t>20_Trimalaconothrus</t>
    <phoneticPr fontId="2" type="noConversion"/>
  </si>
  <si>
    <t>Hermanniodea</t>
    <phoneticPr fontId="1" type="noConversion"/>
  </si>
  <si>
    <t>Damaeoidea</t>
    <phoneticPr fontId="1" type="noConversion"/>
  </si>
  <si>
    <t>24_Belba</t>
    <phoneticPr fontId="1" type="noConversion"/>
  </si>
  <si>
    <t>15_Damaeidae</t>
    <phoneticPr fontId="2" type="noConversion"/>
  </si>
  <si>
    <t>Gustavioidea</t>
    <phoneticPr fontId="1" type="noConversion"/>
  </si>
  <si>
    <t>15_Damaeidae</t>
    <phoneticPr fontId="1" type="noConversion"/>
  </si>
  <si>
    <t>28_Allosuctobelba</t>
    <phoneticPr fontId="1" type="noConversion"/>
  </si>
  <si>
    <t>(9) Damaeoidea</t>
    <phoneticPr fontId="1" type="noConversion"/>
  </si>
  <si>
    <t>(10) Gustavioidea</t>
    <phoneticPr fontId="1" type="noConversion"/>
  </si>
  <si>
    <t>(11) Carabodoidea</t>
    <phoneticPr fontId="2" type="noConversion"/>
  </si>
  <si>
    <t>(12) Oppioidea</t>
    <phoneticPr fontId="2" type="noConversion"/>
  </si>
  <si>
    <t>(13) Tectocepheoidea</t>
    <phoneticPr fontId="2" type="noConversion"/>
  </si>
  <si>
    <t>(14) Licneremaeoidea</t>
    <phoneticPr fontId="2" type="noConversion"/>
  </si>
  <si>
    <t>Phenopelopoidea</t>
    <phoneticPr fontId="1" type="noConversion"/>
  </si>
  <si>
    <t>(15) Phenopelopoidea</t>
    <phoneticPr fontId="1" type="noConversion"/>
  </si>
  <si>
    <t>Achipteroidea</t>
    <phoneticPr fontId="1" type="noConversion"/>
  </si>
  <si>
    <t>(16) Achipteroidea</t>
    <phoneticPr fontId="1" type="noConversion"/>
  </si>
  <si>
    <t>Galumnoidea</t>
    <phoneticPr fontId="1" type="noConversion"/>
  </si>
  <si>
    <t>Oripodoidea</t>
    <phoneticPr fontId="1" type="noConversion"/>
  </si>
  <si>
    <t>42_Rostrozete</t>
    <phoneticPr fontId="1" type="noConversion"/>
  </si>
  <si>
    <t>43_Incabates</t>
    <phoneticPr fontId="1" type="noConversion"/>
  </si>
  <si>
    <t>44_Peloribates</t>
    <phoneticPr fontId="1" type="noConversion"/>
  </si>
  <si>
    <t>47_Galumna</t>
    <phoneticPr fontId="1" type="noConversion"/>
  </si>
  <si>
    <t>48_Trichogalumna</t>
    <phoneticPr fontId="1" type="noConversion"/>
  </si>
  <si>
    <t>32_Galumnidae</t>
    <phoneticPr fontId="2" type="noConversion"/>
  </si>
  <si>
    <t>49_Pergalumna</t>
    <phoneticPr fontId="1" type="noConversion"/>
  </si>
  <si>
    <t>(17) Oripodoidea</t>
    <phoneticPr fontId="2" type="noConversion"/>
  </si>
  <si>
    <t>(18) Ceratozetoidea</t>
    <phoneticPr fontId="2" type="noConversion"/>
  </si>
  <si>
    <t>(19) Galumnoidea</t>
    <phoneticPr fontId="2" type="noConversion"/>
  </si>
  <si>
    <r>
      <rPr>
        <i/>
        <sz val="11"/>
        <color theme="1"/>
        <rFont val="楷体"/>
        <family val="3"/>
        <charset val="134"/>
      </rPr>
      <t>直卷甲螨属</t>
    </r>
  </si>
  <si>
    <r>
      <rPr>
        <i/>
        <sz val="11"/>
        <color theme="1"/>
        <rFont val="楷体"/>
        <family val="3"/>
        <charset val="134"/>
      </rPr>
      <t>东缝甲螨属</t>
    </r>
  </si>
  <si>
    <r>
      <rPr>
        <i/>
        <sz val="11"/>
        <color theme="1"/>
        <rFont val="楷体"/>
        <family val="3"/>
        <charset val="134"/>
      </rPr>
      <t>缝甲螨属</t>
    </r>
  </si>
  <si>
    <r>
      <rPr>
        <i/>
        <sz val="11"/>
        <color theme="1"/>
        <rFont val="楷体"/>
        <family val="3"/>
        <charset val="134"/>
      </rPr>
      <t>真罗甲螨属</t>
    </r>
  </si>
  <si>
    <r>
      <rPr>
        <i/>
        <sz val="11"/>
        <color theme="1"/>
        <rFont val="楷体"/>
        <family val="3"/>
        <charset val="134"/>
      </rPr>
      <t>上罗甲螨属</t>
    </r>
  </si>
  <si>
    <r>
      <rPr>
        <i/>
        <sz val="11"/>
        <color theme="1"/>
        <rFont val="楷体"/>
        <family val="3"/>
        <charset val="134"/>
      </rPr>
      <t>微三甲螨属</t>
    </r>
  </si>
  <si>
    <r>
      <rPr>
        <i/>
        <sz val="11"/>
        <color theme="1"/>
        <rFont val="楷体"/>
        <family val="3"/>
        <charset val="134"/>
      </rPr>
      <t>卷甲螨属</t>
    </r>
  </si>
  <si>
    <r>
      <rPr>
        <i/>
        <sz val="11"/>
        <color theme="1"/>
        <rFont val="楷体"/>
        <family val="3"/>
        <charset val="134"/>
      </rPr>
      <t>暗卷甲螨属</t>
    </r>
  </si>
  <si>
    <r>
      <rPr>
        <i/>
        <sz val="11"/>
        <color theme="1"/>
        <rFont val="楷体"/>
        <family val="3"/>
        <charset val="134"/>
      </rPr>
      <t>洼甲螨属</t>
    </r>
  </si>
  <si>
    <r>
      <rPr>
        <i/>
        <sz val="11"/>
        <color theme="1"/>
        <rFont val="楷体"/>
        <family val="3"/>
        <charset val="134"/>
      </rPr>
      <t>半懒甲螨属</t>
    </r>
  </si>
  <si>
    <r>
      <rPr>
        <i/>
        <sz val="11"/>
        <color theme="1"/>
        <rFont val="楷体"/>
        <family val="3"/>
        <charset val="134"/>
      </rPr>
      <t>平懒甲螨属</t>
    </r>
  </si>
  <si>
    <r>
      <rPr>
        <i/>
        <sz val="11"/>
        <color theme="1"/>
        <rFont val="楷体"/>
        <family val="3"/>
        <charset val="134"/>
      </rPr>
      <t>懒甲螨属</t>
    </r>
  </si>
  <si>
    <r>
      <rPr>
        <i/>
        <sz val="11"/>
        <color theme="1"/>
        <rFont val="楷体"/>
        <family val="3"/>
        <charset val="134"/>
      </rPr>
      <t>礼服甲螨属</t>
    </r>
  </si>
  <si>
    <r>
      <rPr>
        <i/>
        <sz val="11"/>
        <color theme="1"/>
        <rFont val="楷体"/>
        <family val="3"/>
        <charset val="134"/>
      </rPr>
      <t>原甲螨属</t>
    </r>
  </si>
  <si>
    <r>
      <rPr>
        <i/>
        <sz val="11"/>
        <color theme="1"/>
        <rFont val="楷体"/>
        <family val="3"/>
        <charset val="134"/>
      </rPr>
      <t>盲甲螨属</t>
    </r>
  </si>
  <si>
    <r>
      <rPr>
        <i/>
        <sz val="11"/>
        <color theme="1"/>
        <rFont val="楷体"/>
        <family val="3"/>
        <charset val="134"/>
      </rPr>
      <t>三盲甲螨属</t>
    </r>
  </si>
  <si>
    <r>
      <rPr>
        <i/>
        <sz val="11"/>
        <color theme="1"/>
        <rFont val="楷体"/>
        <family val="3"/>
        <charset val="134"/>
      </rPr>
      <t>赫甲螨属</t>
    </r>
  </si>
  <si>
    <r>
      <rPr>
        <i/>
        <sz val="11"/>
        <color theme="1"/>
        <rFont val="楷体"/>
        <family val="3"/>
        <charset val="134"/>
      </rPr>
      <t>表珠甲螨属</t>
    </r>
  </si>
  <si>
    <r>
      <rPr>
        <i/>
        <sz val="11"/>
        <color theme="1"/>
        <rFont val="楷体"/>
        <family val="3"/>
        <charset val="134"/>
      </rPr>
      <t>珠足甲螨属</t>
    </r>
  </si>
  <si>
    <r>
      <rPr>
        <i/>
        <sz val="11"/>
        <color theme="1"/>
        <rFont val="楷体"/>
        <family val="3"/>
        <charset val="134"/>
      </rPr>
      <t>刀肋甲螨属</t>
    </r>
  </si>
  <si>
    <r>
      <rPr>
        <i/>
        <sz val="11"/>
        <color theme="1"/>
        <rFont val="楷体"/>
        <family val="3"/>
        <charset val="134"/>
      </rPr>
      <t>步甲螨属</t>
    </r>
  </si>
  <si>
    <r>
      <rPr>
        <i/>
        <sz val="11"/>
        <color theme="1"/>
        <rFont val="楷体"/>
        <family val="3"/>
        <charset val="134"/>
      </rPr>
      <t>异盾珠甲螨属</t>
    </r>
  </si>
  <si>
    <r>
      <rPr>
        <i/>
        <sz val="11"/>
        <color theme="1"/>
        <rFont val="楷体"/>
        <family val="3"/>
        <charset val="134"/>
      </rPr>
      <t>微奥甲螨属</t>
    </r>
  </si>
  <si>
    <r>
      <rPr>
        <i/>
        <sz val="11"/>
        <color theme="1"/>
        <rFont val="楷体"/>
        <family val="3"/>
        <charset val="134"/>
      </rPr>
      <t>小奥甲螨属</t>
    </r>
  </si>
  <si>
    <r>
      <rPr>
        <i/>
        <sz val="11"/>
        <color theme="1"/>
        <rFont val="楷体"/>
        <family val="3"/>
        <charset val="134"/>
      </rPr>
      <t>枝奥甲螨属</t>
    </r>
  </si>
  <si>
    <r>
      <rPr>
        <i/>
        <sz val="11"/>
        <color theme="1"/>
        <rFont val="楷体"/>
        <family val="3"/>
        <charset val="134"/>
      </rPr>
      <t>盖头甲螨属</t>
    </r>
  </si>
  <si>
    <r>
      <rPr>
        <i/>
        <sz val="11"/>
        <color theme="1"/>
        <rFont val="楷体"/>
        <family val="3"/>
        <charset val="134"/>
      </rPr>
      <t>垂盾甲螨属</t>
    </r>
  </si>
  <si>
    <r>
      <rPr>
        <i/>
        <sz val="11"/>
        <color theme="1"/>
        <rFont val="楷体"/>
        <family val="3"/>
        <charset val="134"/>
      </rPr>
      <t>真前翼甲螨属</t>
    </r>
  </si>
  <si>
    <r>
      <rPr>
        <i/>
        <sz val="11"/>
        <color theme="1"/>
        <rFont val="楷体"/>
        <family val="3"/>
        <charset val="134"/>
      </rPr>
      <t>角翼甲螨属</t>
    </r>
  </si>
  <si>
    <r>
      <rPr>
        <i/>
        <sz val="11"/>
        <color theme="1"/>
        <rFont val="楷体"/>
        <family val="3"/>
        <charset val="134"/>
      </rPr>
      <t>新肋甲螨属</t>
    </r>
  </si>
  <si>
    <r>
      <rPr>
        <i/>
        <sz val="11"/>
        <color theme="1"/>
        <rFont val="楷体"/>
        <family val="3"/>
        <charset val="134"/>
      </rPr>
      <t>原大翼甲螨属</t>
    </r>
  </si>
  <si>
    <r>
      <rPr>
        <i/>
        <sz val="11"/>
        <color theme="1"/>
        <rFont val="楷体"/>
        <family val="3"/>
        <charset val="134"/>
      </rPr>
      <t>若甲螨属</t>
    </r>
  </si>
  <si>
    <r>
      <rPr>
        <i/>
        <sz val="11"/>
        <color theme="1"/>
        <rFont val="楷体"/>
        <family val="3"/>
        <charset val="134"/>
      </rPr>
      <t>菌甲螨属</t>
    </r>
  </si>
  <si>
    <r>
      <rPr>
        <i/>
        <sz val="11"/>
        <color theme="1"/>
        <rFont val="楷体"/>
        <family val="3"/>
        <charset val="134"/>
      </rPr>
      <t>杆棱甲螨属</t>
    </r>
  </si>
  <si>
    <r>
      <rPr>
        <i/>
        <sz val="11"/>
        <color theme="1"/>
        <rFont val="楷体"/>
        <family val="3"/>
        <charset val="134"/>
      </rPr>
      <t>角单翼甲螨属</t>
    </r>
  </si>
  <si>
    <r>
      <rPr>
        <i/>
        <sz val="11"/>
        <color theme="1"/>
        <rFont val="楷体"/>
        <family val="3"/>
        <charset val="134"/>
      </rPr>
      <t>细若甲螨属</t>
    </r>
  </si>
  <si>
    <r>
      <rPr>
        <i/>
        <sz val="11"/>
        <color theme="1"/>
        <rFont val="楷体"/>
        <family val="3"/>
        <charset val="134"/>
      </rPr>
      <t>圆单翼甲螨属</t>
    </r>
  </si>
  <si>
    <r>
      <rPr>
        <i/>
        <sz val="11"/>
        <color theme="1"/>
        <rFont val="楷体"/>
        <family val="3"/>
        <charset val="134"/>
      </rPr>
      <t>尖棱甲螨属</t>
    </r>
  </si>
  <si>
    <r>
      <rPr>
        <i/>
        <sz val="11"/>
        <color theme="1"/>
        <rFont val="楷体"/>
        <family val="3"/>
        <charset val="134"/>
      </rPr>
      <t>大翼甲螨属</t>
    </r>
  </si>
  <si>
    <r>
      <rPr>
        <i/>
        <sz val="11"/>
        <color theme="1"/>
        <rFont val="楷体"/>
        <family val="3"/>
        <charset val="134"/>
      </rPr>
      <t>毛大翼甲螨属</t>
    </r>
  </si>
  <si>
    <r>
      <rPr>
        <i/>
        <sz val="11"/>
        <color theme="1"/>
        <rFont val="楷体"/>
        <family val="3"/>
        <charset val="134"/>
      </rPr>
      <t>短缝甲螨属</t>
    </r>
  </si>
  <si>
    <r>
      <rPr>
        <i/>
        <sz val="11"/>
        <color theme="1"/>
        <rFont val="楷体"/>
        <family val="3"/>
        <charset val="134"/>
      </rPr>
      <t>罗甲螨属</t>
    </r>
    <phoneticPr fontId="2" type="noConversion"/>
  </si>
  <si>
    <r>
      <rPr>
        <i/>
        <sz val="11"/>
        <color theme="1"/>
        <rFont val="楷体"/>
        <family val="3"/>
        <charset val="134"/>
      </rPr>
      <t>疹丘甲螨属</t>
    </r>
    <phoneticPr fontId="2" type="noConversion"/>
  </si>
  <si>
    <r>
      <rPr>
        <i/>
        <sz val="11"/>
        <color theme="1"/>
        <rFont val="楷体"/>
        <family val="3"/>
        <charset val="134"/>
      </rPr>
      <t>端三甲螨属</t>
    </r>
    <phoneticPr fontId="2" type="noConversion"/>
  </si>
  <si>
    <r>
      <rPr>
        <i/>
        <sz val="11"/>
        <color theme="1"/>
        <rFont val="楷体"/>
        <family val="3"/>
        <charset val="134"/>
      </rPr>
      <t>小盾珠甲螨属</t>
    </r>
    <phoneticPr fontId="2" type="noConversion"/>
  </si>
  <si>
    <r>
      <rPr>
        <i/>
        <sz val="11"/>
        <color theme="1"/>
        <rFont val="楷体"/>
        <family val="3"/>
        <charset val="134"/>
      </rPr>
      <t>多奥甲螨属</t>
    </r>
    <phoneticPr fontId="2" type="noConversion"/>
  </si>
  <si>
    <r>
      <rPr>
        <i/>
        <sz val="11"/>
        <color theme="1"/>
        <rFont val="楷体"/>
        <family val="3"/>
        <charset val="134"/>
      </rPr>
      <t>黑尖棱甲螨属</t>
    </r>
    <phoneticPr fontId="2" type="noConversion"/>
  </si>
  <si>
    <r>
      <rPr>
        <i/>
        <sz val="11"/>
        <color theme="1"/>
        <rFont val="楷体"/>
        <family val="3"/>
        <charset val="134"/>
      </rPr>
      <t>全大翼甲螨属</t>
    </r>
    <phoneticPr fontId="1" type="noConversion"/>
  </si>
  <si>
    <r>
      <rPr>
        <b/>
        <sz val="11"/>
        <color theme="1"/>
        <rFont val="楷体"/>
        <family val="3"/>
        <charset val="134"/>
      </rPr>
      <t>属</t>
    </r>
    <phoneticPr fontId="1" type="noConversion"/>
  </si>
  <si>
    <t>Suborder</t>
    <phoneticPr fontId="2" type="noConversion"/>
  </si>
  <si>
    <t>Frequency</t>
    <phoneticPr fontId="2" type="noConversion"/>
  </si>
  <si>
    <t>Abundance</t>
    <phoneticPr fontId="2" type="noConversion"/>
  </si>
  <si>
    <t>Richness</t>
    <phoneticPr fontId="2" type="noConversion"/>
  </si>
  <si>
    <t>Measured from adult Abundance using the KEYENCE VHX-5000 digital microscope system. 
Body length was measured from the anterior tip of the rostrum to the posterior margin of the notogaster.</t>
  </si>
  <si>
    <t>Measured from adult Abundance using the KEYENCE VHX-5000 digital microscope system. 
Body width was measured at the widest part of the notogaster.</t>
  </si>
  <si>
    <t>Assigned according to the number of pretarsal claws in adult Abundance, based on direct microscopic observations and published morphological descriptions.</t>
  </si>
  <si>
    <t>Epilohmannia has been reported as monodactylous, and although bidactylous Abundance have also been noted (Walter et al., 2014; Behan-Pelletier and Lindo, 2022), our microscopy indicates that the examined specimens are predominantly monodactylous; we therefore provisionally coded the genus as monodactylous.</t>
  </si>
  <si>
    <t>Maraun et al. (2019) noted that reproductive mode has been documented for 18 species within the genus Rostrozetes, spanning both sexual and parthenogenetic reproduction; this evidence indicates mixed reproductive modes at the genus level. Microscopic examination of our material identified male Abundance, and this sample was therefore provisionally coded as sexual.</t>
  </si>
  <si>
    <t>Microscopic examination of our material identified male Abundance, and Incabates was therefore provisionally coded as sexual.</t>
  </si>
  <si>
    <t>2_Eohypochthonius</t>
    <phoneticPr fontId="2" type="noConversion"/>
  </si>
  <si>
    <t>3_Hypochthonius</t>
    <phoneticPr fontId="2" type="noConversion"/>
  </si>
  <si>
    <t>4_Eniochthonius</t>
    <phoneticPr fontId="2" type="noConversion"/>
  </si>
  <si>
    <t>5_Lohmannia</t>
    <phoneticPr fontId="2" type="noConversion"/>
  </si>
  <si>
    <t>6_Papillacarus</t>
    <phoneticPr fontId="2" type="noConversion"/>
  </si>
  <si>
    <t>7_Eulohmannia</t>
    <phoneticPr fontId="2" type="noConversion"/>
  </si>
  <si>
    <t>8_Epilohmannia</t>
    <phoneticPr fontId="2" type="noConversion"/>
  </si>
  <si>
    <t>9_Microtritia</t>
    <phoneticPr fontId="2" type="noConversion"/>
  </si>
  <si>
    <t>10_Acrotritia</t>
    <phoneticPr fontId="2" type="noConversion"/>
  </si>
  <si>
    <t>11_Phthiracarus</t>
    <phoneticPr fontId="2" type="noConversion"/>
  </si>
  <si>
    <t>13_Camisia</t>
    <phoneticPr fontId="2" type="noConversion"/>
  </si>
  <si>
    <t>14_Heminothrus</t>
    <phoneticPr fontId="2" type="noConversion"/>
  </si>
  <si>
    <t>16_Nothrus</t>
    <phoneticPr fontId="2" type="noConversion"/>
  </si>
  <si>
    <t>17_Trhypochthonius</t>
    <phoneticPr fontId="2" type="noConversion"/>
  </si>
  <si>
    <t>18_Archegozetes</t>
    <phoneticPr fontId="2" type="noConversion"/>
  </si>
  <si>
    <t>20_Trimalaconothrus</t>
    <phoneticPr fontId="1" type="noConversion"/>
  </si>
  <si>
    <t>21_Nanhermannia</t>
    <phoneticPr fontId="2" type="noConversion"/>
  </si>
  <si>
    <t>22_Hermannia</t>
    <phoneticPr fontId="2" type="noConversion"/>
  </si>
  <si>
    <t>23_Epidamaeus</t>
    <phoneticPr fontId="2" type="noConversion"/>
  </si>
  <si>
    <t>24_Belba</t>
    <phoneticPr fontId="2" type="noConversion"/>
  </si>
  <si>
    <t>25_Cultroribula</t>
    <phoneticPr fontId="2" type="noConversion"/>
  </si>
  <si>
    <t>26_Carabodes</t>
    <phoneticPr fontId="2" type="noConversion"/>
  </si>
  <si>
    <t>27_Suctobelbella</t>
    <phoneticPr fontId="2" type="noConversion"/>
  </si>
  <si>
    <t>29_Multioppia</t>
    <phoneticPr fontId="2" type="noConversion"/>
  </si>
  <si>
    <t>30_Microppia</t>
    <phoneticPr fontId="2" type="noConversion"/>
  </si>
  <si>
    <t>31_Oppiella</t>
    <phoneticPr fontId="2" type="noConversion"/>
  </si>
  <si>
    <t>32_Ramusella</t>
    <phoneticPr fontId="2" type="noConversion"/>
  </si>
  <si>
    <t>33_Tectocepheus</t>
    <phoneticPr fontId="2" type="noConversion"/>
  </si>
  <si>
    <t>34_Scutovertex</t>
    <phoneticPr fontId="2" type="noConversion"/>
  </si>
  <si>
    <t>35_Eupelops</t>
    <phoneticPr fontId="2" type="noConversion"/>
  </si>
  <si>
    <t>36_Achipteria</t>
    <phoneticPr fontId="2" type="noConversion"/>
  </si>
  <si>
    <t>37_Neoribates</t>
    <phoneticPr fontId="2" type="noConversion"/>
  </si>
  <si>
    <t>38_Protokalumma</t>
    <phoneticPr fontId="2" type="noConversion"/>
  </si>
  <si>
    <t>40_Scheloribates</t>
    <phoneticPr fontId="2" type="noConversion"/>
  </si>
  <si>
    <t>41_Mochlozetes</t>
    <phoneticPr fontId="2" type="noConversion"/>
  </si>
  <si>
    <t>42_Rostrozetes</t>
    <phoneticPr fontId="2" type="noConversion"/>
  </si>
  <si>
    <t>44_Peloribates</t>
    <phoneticPr fontId="2" type="noConversion"/>
  </si>
  <si>
    <t>45_Ceratozetes</t>
    <phoneticPr fontId="2" type="noConversion"/>
  </si>
  <si>
    <t>46_Melanozetes</t>
    <phoneticPr fontId="2" type="noConversion"/>
  </si>
  <si>
    <t>47_Galumna</t>
    <phoneticPr fontId="2" type="noConversion"/>
  </si>
  <si>
    <t>48_Trichogalumna</t>
    <phoneticPr fontId="2" type="noConversion"/>
  </si>
  <si>
    <t>49_Pergalumna</t>
    <phoneticPr fontId="2" type="noConversion"/>
  </si>
  <si>
    <t>Li and Li, 1989, pp. 277-279;
Behan-Pelletier and Lindo, 2022, pp. 277-279</t>
    <phoneticPr fontId="2" type="noConversion"/>
  </si>
  <si>
    <r>
      <rPr>
        <sz val="11"/>
        <color theme="1"/>
        <rFont val="楷体"/>
        <family val="3"/>
        <charset val="134"/>
      </rPr>
      <t xml:space="preserve">东缝甲螨属
</t>
    </r>
    <r>
      <rPr>
        <sz val="11"/>
        <color theme="1"/>
        <rFont val="Times New Roman"/>
        <family val="1"/>
      </rPr>
      <t>2_Eohypochthonius
(Abundance = 120)
(Frequency = 2)</t>
    </r>
  </si>
  <si>
    <r>
      <rPr>
        <sz val="11"/>
        <color theme="1"/>
        <rFont val="楷体"/>
        <family val="3"/>
        <charset val="134"/>
      </rPr>
      <t xml:space="preserve">短缝甲螨属
</t>
    </r>
    <r>
      <rPr>
        <sz val="11"/>
        <color theme="1"/>
        <rFont val="Times New Roman"/>
        <family val="1"/>
      </rPr>
      <t>4_Eniochthonius
(Abundance = 19)
(Frequency = 2)</t>
    </r>
  </si>
  <si>
    <r>
      <rPr>
        <sz val="11"/>
        <color theme="1"/>
        <rFont val="楷体"/>
        <family val="3"/>
        <charset val="134"/>
      </rPr>
      <t xml:space="preserve">罗甲螨属
</t>
    </r>
    <r>
      <rPr>
        <sz val="11"/>
        <color theme="1"/>
        <rFont val="Times New Roman"/>
        <family val="1"/>
      </rPr>
      <t>5_Lohmannia
(Abundance = 58)
(Frequency = 3)</t>
    </r>
  </si>
  <si>
    <r>
      <rPr>
        <sz val="11"/>
        <color theme="1"/>
        <rFont val="楷体"/>
        <family val="3"/>
        <charset val="134"/>
      </rPr>
      <t xml:space="preserve">疹丘甲螨属
</t>
    </r>
    <r>
      <rPr>
        <sz val="11"/>
        <color theme="1"/>
        <rFont val="Times New Roman"/>
        <family val="1"/>
      </rPr>
      <t>6_Papillacarus
(Abundance = 108)
(Frequency = 5)</t>
    </r>
  </si>
  <si>
    <r>
      <rPr>
        <sz val="11"/>
        <color theme="1"/>
        <rFont val="楷体"/>
        <family val="3"/>
        <charset val="134"/>
      </rPr>
      <t xml:space="preserve">微三甲螨属
</t>
    </r>
    <r>
      <rPr>
        <sz val="11"/>
        <color theme="1"/>
        <rFont val="Times New Roman"/>
        <family val="1"/>
      </rPr>
      <t>9_Microtritia
(Abundance = 217)
(Frequency = 12)</t>
    </r>
  </si>
  <si>
    <r>
      <rPr>
        <sz val="11"/>
        <color theme="1"/>
        <rFont val="楷体"/>
        <family val="3"/>
        <charset val="134"/>
      </rPr>
      <t xml:space="preserve">端三甲螨属
</t>
    </r>
    <r>
      <rPr>
        <sz val="11"/>
        <color theme="1"/>
        <rFont val="Times New Roman"/>
        <family val="1"/>
      </rPr>
      <t>10_Acrotritia
(Abundance = 251)
(Frequency = 9)</t>
    </r>
  </si>
  <si>
    <r>
      <rPr>
        <sz val="11"/>
        <color theme="1"/>
        <rFont val="楷体"/>
        <family val="3"/>
        <charset val="134"/>
      </rPr>
      <t xml:space="preserve">卷甲螨属
</t>
    </r>
    <r>
      <rPr>
        <sz val="11"/>
        <color theme="1"/>
        <rFont val="Times New Roman"/>
        <family val="1"/>
      </rPr>
      <t>11_Phthiracarus
(Abundance = 65)
(Frequency = 5)</t>
    </r>
  </si>
  <si>
    <r>
      <rPr>
        <sz val="11"/>
        <color theme="1"/>
        <rFont val="楷体"/>
        <family val="3"/>
        <charset val="134"/>
      </rPr>
      <t xml:space="preserve">暗卷甲螨属
</t>
    </r>
    <r>
      <rPr>
        <sz val="11"/>
        <color theme="1"/>
        <rFont val="Times New Roman"/>
        <family val="1"/>
      </rPr>
      <t>12_Atropacarus
(Abundance = 20)
(Frequency = 3)</t>
    </r>
  </si>
  <si>
    <r>
      <rPr>
        <sz val="11"/>
        <color theme="1"/>
        <rFont val="楷体"/>
        <family val="3"/>
        <charset val="134"/>
      </rPr>
      <t xml:space="preserve">洼甲螨属
</t>
    </r>
    <r>
      <rPr>
        <sz val="11"/>
        <color theme="1"/>
        <rFont val="Times New Roman"/>
        <family val="1"/>
      </rPr>
      <t>13_Camisia
(Abundance = 30)
(Frequency = 5)</t>
    </r>
  </si>
  <si>
    <r>
      <rPr>
        <sz val="11"/>
        <color theme="1"/>
        <rFont val="楷体"/>
        <family val="3"/>
        <charset val="134"/>
      </rPr>
      <t xml:space="preserve">半懒甲螨属
</t>
    </r>
    <r>
      <rPr>
        <sz val="11"/>
        <color theme="1"/>
        <rFont val="Times New Roman"/>
        <family val="1"/>
      </rPr>
      <t>14_Heminothrus
(Abundance = 40)
(Frequency = 4)</t>
    </r>
  </si>
  <si>
    <r>
      <rPr>
        <sz val="11"/>
        <color theme="1"/>
        <rFont val="楷体"/>
        <family val="3"/>
        <charset val="134"/>
      </rPr>
      <t xml:space="preserve">平懒甲螨属
</t>
    </r>
    <r>
      <rPr>
        <sz val="11"/>
        <color theme="1"/>
        <rFont val="Times New Roman"/>
        <family val="1"/>
      </rPr>
      <t>15_Platynothrus
(Abundance = 64)
(Frequency = 2)</t>
    </r>
  </si>
  <si>
    <r>
      <rPr>
        <sz val="11"/>
        <color theme="1"/>
        <rFont val="楷体"/>
        <family val="3"/>
        <charset val="134"/>
      </rPr>
      <t xml:space="preserve">懒甲螨属
</t>
    </r>
    <r>
      <rPr>
        <sz val="11"/>
        <color theme="1"/>
        <rFont val="Times New Roman"/>
        <family val="1"/>
      </rPr>
      <t>16_Nothrus
(Abundance = 463)
(Frequency = 16)</t>
    </r>
  </si>
  <si>
    <r>
      <rPr>
        <sz val="11"/>
        <color theme="1"/>
        <rFont val="楷体"/>
        <family val="3"/>
        <charset val="134"/>
      </rPr>
      <t xml:space="preserve">礼服甲螨属
</t>
    </r>
    <r>
      <rPr>
        <sz val="11"/>
        <color theme="1"/>
        <rFont val="Times New Roman"/>
        <family val="1"/>
      </rPr>
      <t>17_Trhypochthonius
(Abundance = 1486)
(Frequency = 23)</t>
    </r>
  </si>
  <si>
    <r>
      <rPr>
        <sz val="11"/>
        <color theme="1"/>
        <rFont val="楷体"/>
        <family val="3"/>
        <charset val="134"/>
      </rPr>
      <t xml:space="preserve">原甲螨属
</t>
    </r>
    <r>
      <rPr>
        <sz val="11"/>
        <color theme="1"/>
        <rFont val="Times New Roman"/>
        <family val="1"/>
      </rPr>
      <t>18_Archegozetes
(Abundance = 306)
(Frequency = 13)</t>
    </r>
  </si>
  <si>
    <r>
      <rPr>
        <sz val="11"/>
        <color theme="1"/>
        <rFont val="楷体"/>
        <family val="3"/>
        <charset val="134"/>
      </rPr>
      <t xml:space="preserve">盲甲螨属
</t>
    </r>
    <r>
      <rPr>
        <sz val="11"/>
        <color theme="1"/>
        <rFont val="Times New Roman"/>
        <family val="1"/>
      </rPr>
      <t>19_Malaconothrus
(Abundance = 900)
(Frequency = 18)</t>
    </r>
  </si>
  <si>
    <r>
      <rPr>
        <sz val="11"/>
        <color theme="1"/>
        <rFont val="楷体"/>
        <family val="3"/>
        <charset val="134"/>
      </rPr>
      <t xml:space="preserve">三盲甲螨属
</t>
    </r>
    <r>
      <rPr>
        <sz val="11"/>
        <color theme="1"/>
        <rFont val="Times New Roman"/>
        <family val="1"/>
      </rPr>
      <t>20_Trimalaconothrus
(Abundance = 171)
(Frequency = 11)</t>
    </r>
  </si>
  <si>
    <r>
      <rPr>
        <sz val="11"/>
        <color theme="1"/>
        <rFont val="楷体"/>
        <family val="3"/>
        <charset val="134"/>
      </rPr>
      <t xml:space="preserve">矮汉甲螨属
</t>
    </r>
    <r>
      <rPr>
        <sz val="11"/>
        <color theme="1"/>
        <rFont val="Times New Roman"/>
        <family val="1"/>
      </rPr>
      <t>21_Nanhermannia
(Abundance = 75)
(Frequency = 4)</t>
    </r>
  </si>
  <si>
    <r>
      <rPr>
        <sz val="11"/>
        <color theme="1"/>
        <rFont val="楷体"/>
        <family val="3"/>
        <charset val="134"/>
      </rPr>
      <t xml:space="preserve">赫甲螨属
</t>
    </r>
    <r>
      <rPr>
        <sz val="11"/>
        <color theme="1"/>
        <rFont val="Times New Roman"/>
        <family val="1"/>
      </rPr>
      <t>22_Hermannia
(Abundance = 72)
(Frequency = 4)</t>
    </r>
  </si>
  <si>
    <r>
      <rPr>
        <sz val="11"/>
        <color theme="1"/>
        <rFont val="楷体"/>
        <family val="3"/>
        <charset val="134"/>
      </rPr>
      <t xml:space="preserve">表珠甲螨属
</t>
    </r>
    <r>
      <rPr>
        <sz val="11"/>
        <color theme="1"/>
        <rFont val="Times New Roman"/>
        <family val="1"/>
      </rPr>
      <t>23_Epidamaeus
(Abundance = 163)
(Frequency = 7)</t>
    </r>
  </si>
  <si>
    <r>
      <rPr>
        <sz val="11"/>
        <color theme="1"/>
        <rFont val="楷体"/>
        <family val="3"/>
        <charset val="134"/>
      </rPr>
      <t xml:space="preserve">珠足甲螨属
</t>
    </r>
    <r>
      <rPr>
        <sz val="11"/>
        <color theme="1"/>
        <rFont val="Times New Roman"/>
        <family val="1"/>
      </rPr>
      <t>24_Belba
(Abundance = 275)
(Frequency = 13)</t>
    </r>
  </si>
  <si>
    <r>
      <rPr>
        <sz val="11"/>
        <color theme="1"/>
        <rFont val="楷体"/>
        <family val="3"/>
        <charset val="134"/>
      </rPr>
      <t xml:space="preserve">刀肋甲螨属
</t>
    </r>
    <r>
      <rPr>
        <sz val="11"/>
        <color theme="1"/>
        <rFont val="Times New Roman"/>
        <family val="1"/>
      </rPr>
      <t>25_Cultroribula
(Abundance = 98)
(Frequency = 7)</t>
    </r>
  </si>
  <si>
    <r>
      <rPr>
        <sz val="11"/>
        <color theme="1"/>
        <rFont val="楷体"/>
        <family val="3"/>
        <charset val="134"/>
      </rPr>
      <t xml:space="preserve">步甲螨属
</t>
    </r>
    <r>
      <rPr>
        <sz val="11"/>
        <color theme="1"/>
        <rFont val="Times New Roman"/>
        <family val="1"/>
      </rPr>
      <t>26_Carabodes
(Abundance = 98)
(Frequency = 7)</t>
    </r>
  </si>
  <si>
    <r>
      <rPr>
        <sz val="11"/>
        <color theme="1"/>
        <rFont val="楷体"/>
        <family val="3"/>
        <charset val="134"/>
      </rPr>
      <t xml:space="preserve">多奥甲螨属
</t>
    </r>
    <r>
      <rPr>
        <sz val="11"/>
        <color theme="1"/>
        <rFont val="Times New Roman"/>
        <family val="1"/>
      </rPr>
      <t>29_Multioppia
(Abundance = 106)
(Frequency = 9)</t>
    </r>
  </si>
  <si>
    <r>
      <rPr>
        <sz val="11"/>
        <color theme="1"/>
        <rFont val="楷体"/>
        <family val="3"/>
        <charset val="134"/>
      </rPr>
      <t xml:space="preserve">微奥甲螨属
</t>
    </r>
    <r>
      <rPr>
        <sz val="11"/>
        <color theme="1"/>
        <rFont val="Times New Roman"/>
        <family val="1"/>
      </rPr>
      <t>30_Microppia
(Abundance = 253)
(Frequency = 10)</t>
    </r>
  </si>
  <si>
    <r>
      <rPr>
        <sz val="11"/>
        <color theme="1"/>
        <rFont val="楷体"/>
        <family val="3"/>
        <charset val="134"/>
      </rPr>
      <t xml:space="preserve">小奥甲螨属
</t>
    </r>
    <r>
      <rPr>
        <sz val="11"/>
        <color theme="1"/>
        <rFont val="Times New Roman"/>
        <family val="1"/>
      </rPr>
      <t>31_Oppiella
(Abundance = 377)
(Frequency = 19)</t>
    </r>
  </si>
  <si>
    <r>
      <rPr>
        <sz val="11"/>
        <color theme="1"/>
        <rFont val="楷体"/>
        <family val="3"/>
        <charset val="134"/>
      </rPr>
      <t xml:space="preserve">枝奥甲螨属
</t>
    </r>
    <r>
      <rPr>
        <sz val="11"/>
        <color theme="1"/>
        <rFont val="Times New Roman"/>
        <family val="1"/>
      </rPr>
      <t>32_Ramusella
(Abundance = 509)
(Frequency = 6)</t>
    </r>
  </si>
  <si>
    <r>
      <rPr>
        <sz val="11"/>
        <color theme="1"/>
        <rFont val="楷体"/>
        <family val="3"/>
        <charset val="134"/>
      </rPr>
      <t xml:space="preserve">盖头甲螨属
</t>
    </r>
    <r>
      <rPr>
        <sz val="11"/>
        <color theme="1"/>
        <rFont val="Times New Roman"/>
        <family val="1"/>
      </rPr>
      <t>33_Tectocepheus
(Abundance = 385)
(Frequency = 14)</t>
    </r>
  </si>
  <si>
    <r>
      <rPr>
        <sz val="11"/>
        <color theme="1"/>
        <rFont val="楷体"/>
        <family val="3"/>
        <charset val="134"/>
      </rPr>
      <t xml:space="preserve">垂盾甲螨属
</t>
    </r>
    <r>
      <rPr>
        <sz val="11"/>
        <color theme="1"/>
        <rFont val="Times New Roman"/>
        <family val="1"/>
      </rPr>
      <t>34_Scutovertex
(Abundance = 96)
(Frequency = 3)</t>
    </r>
  </si>
  <si>
    <r>
      <rPr>
        <sz val="11"/>
        <color theme="1"/>
        <rFont val="楷体"/>
        <family val="3"/>
        <charset val="134"/>
      </rPr>
      <t xml:space="preserve">真前翼甲螨属
</t>
    </r>
    <r>
      <rPr>
        <sz val="11"/>
        <color theme="1"/>
        <rFont val="Times New Roman"/>
        <family val="1"/>
      </rPr>
      <t>35_Eupelops
(Abundance = 1029)
(Frequency = 16)</t>
    </r>
  </si>
  <si>
    <r>
      <rPr>
        <sz val="11"/>
        <color theme="1"/>
        <rFont val="楷体"/>
        <family val="3"/>
        <charset val="134"/>
      </rPr>
      <t xml:space="preserve">角翼甲螨属
</t>
    </r>
    <r>
      <rPr>
        <sz val="11"/>
        <color theme="1"/>
        <rFont val="Times New Roman"/>
        <family val="1"/>
      </rPr>
      <t>36_Achipteria
(Abundance = 35)
(Frequency = 3)</t>
    </r>
  </si>
  <si>
    <r>
      <rPr>
        <sz val="11"/>
        <color theme="1"/>
        <rFont val="楷体"/>
        <family val="3"/>
        <charset val="134"/>
      </rPr>
      <t xml:space="preserve">新肋甲螨属
</t>
    </r>
    <r>
      <rPr>
        <sz val="11"/>
        <color theme="1"/>
        <rFont val="Times New Roman"/>
        <family val="1"/>
      </rPr>
      <t>37_Neoribates
(Abundance = 90)
(Frequency = 6)</t>
    </r>
  </si>
  <si>
    <r>
      <rPr>
        <sz val="11"/>
        <color theme="1"/>
        <rFont val="楷体"/>
        <family val="3"/>
        <charset val="134"/>
      </rPr>
      <t xml:space="preserve">若甲螨属
</t>
    </r>
    <r>
      <rPr>
        <sz val="11"/>
        <color theme="1"/>
        <rFont val="Times New Roman"/>
        <family val="1"/>
      </rPr>
      <t>39_Oribatula
(Abundance = 46)
(Frequency = 4)</t>
    </r>
  </si>
  <si>
    <r>
      <rPr>
        <sz val="11"/>
        <color theme="1"/>
        <rFont val="楷体"/>
        <family val="3"/>
        <charset val="134"/>
      </rPr>
      <t xml:space="preserve">菌甲螨属
</t>
    </r>
    <r>
      <rPr>
        <sz val="11"/>
        <color theme="1"/>
        <rFont val="Times New Roman"/>
        <family val="1"/>
      </rPr>
      <t>40_Scheloribates
(Abundance = 1243)
(Frequency = 22)</t>
    </r>
  </si>
  <si>
    <r>
      <rPr>
        <sz val="11"/>
        <color theme="1"/>
        <rFont val="楷体"/>
        <family val="3"/>
        <charset val="134"/>
      </rPr>
      <t xml:space="preserve">杆棱甲螨属
</t>
    </r>
    <r>
      <rPr>
        <sz val="11"/>
        <color theme="1"/>
        <rFont val="Times New Roman"/>
        <family val="1"/>
      </rPr>
      <t>41_Mochlozetes
(Abundance = 271)
(Frequency = 5)</t>
    </r>
  </si>
  <si>
    <r>
      <rPr>
        <sz val="11"/>
        <color theme="1"/>
        <rFont val="楷体"/>
        <family val="3"/>
        <charset val="134"/>
      </rPr>
      <t xml:space="preserve">细若甲螨属
</t>
    </r>
    <r>
      <rPr>
        <sz val="11"/>
        <color theme="1"/>
        <rFont val="Times New Roman"/>
        <family val="1"/>
      </rPr>
      <t>43_Incabates
(Abundance = 41)
(Frequency = 3)</t>
    </r>
  </si>
  <si>
    <r>
      <rPr>
        <sz val="11"/>
        <color theme="1"/>
        <rFont val="楷体"/>
        <family val="3"/>
        <charset val="134"/>
      </rPr>
      <t xml:space="preserve">圆单翼甲螨属
</t>
    </r>
    <r>
      <rPr>
        <sz val="11"/>
        <color theme="1"/>
        <rFont val="Times New Roman"/>
        <family val="1"/>
      </rPr>
      <t>44_Peloribates
(Abundance = 1131)
(Frequency = 20)</t>
    </r>
  </si>
  <si>
    <r>
      <rPr>
        <sz val="11"/>
        <color theme="1"/>
        <rFont val="楷体"/>
        <family val="3"/>
        <charset val="134"/>
      </rPr>
      <t xml:space="preserve">尖棱甲螨属
</t>
    </r>
    <r>
      <rPr>
        <sz val="11"/>
        <color theme="1"/>
        <rFont val="Times New Roman"/>
        <family val="1"/>
      </rPr>
      <t>45_Ceratozetes
(Abundance = 726)
(Frequency = 16)</t>
    </r>
  </si>
  <si>
    <r>
      <rPr>
        <sz val="11"/>
        <color theme="1"/>
        <rFont val="楷体"/>
        <family val="3"/>
        <charset val="134"/>
      </rPr>
      <t xml:space="preserve">黑尖棱甲螨属
</t>
    </r>
    <r>
      <rPr>
        <sz val="11"/>
        <color theme="1"/>
        <rFont val="Times New Roman"/>
        <family val="1"/>
      </rPr>
      <t>46_Melanozetes
(Abundance =  93)
(Frequency = 5)</t>
    </r>
  </si>
  <si>
    <r>
      <rPr>
        <sz val="11"/>
        <color theme="1"/>
        <rFont val="楷体"/>
        <family val="3"/>
        <charset val="134"/>
      </rPr>
      <t xml:space="preserve">大翼甲螨属
</t>
    </r>
    <r>
      <rPr>
        <sz val="11"/>
        <color theme="1"/>
        <rFont val="Times New Roman"/>
        <family val="1"/>
      </rPr>
      <t>47_Galumna
(Abundance = 669)
(Frequency = 20)</t>
    </r>
  </si>
  <si>
    <r>
      <rPr>
        <sz val="11"/>
        <color theme="1"/>
        <rFont val="楷体"/>
        <family val="3"/>
        <charset val="134"/>
      </rPr>
      <t xml:space="preserve">毛大翼甲螨属
</t>
    </r>
    <r>
      <rPr>
        <sz val="11"/>
        <color theme="1"/>
        <rFont val="Times New Roman"/>
        <family val="1"/>
      </rPr>
      <t>48_Trichogalumna
(Abundance = 1394)
(Frequency = 23)</t>
    </r>
  </si>
  <si>
    <r>
      <rPr>
        <sz val="11"/>
        <color theme="1"/>
        <rFont val="楷体"/>
        <family val="3"/>
        <charset val="134"/>
      </rPr>
      <t xml:space="preserve">全大翼甲螨属
</t>
    </r>
    <r>
      <rPr>
        <sz val="11"/>
        <color theme="1"/>
        <rFont val="Times New Roman"/>
        <family val="1"/>
      </rPr>
      <t>49_Pergalumna
(Abundance = 300)
(Frequency = 9)</t>
    </r>
  </si>
  <si>
    <t>Suborder</t>
    <phoneticPr fontId="1" type="noConversion"/>
  </si>
  <si>
    <t>Superfamily</t>
    <phoneticPr fontId="1" type="noConversion"/>
  </si>
  <si>
    <t>Family</t>
    <phoneticPr fontId="1" type="noConversion"/>
  </si>
  <si>
    <t>Species/taxa</t>
    <phoneticPr fontId="1" type="noConversion"/>
  </si>
  <si>
    <t xml:space="preserve"> Reproductive mode</t>
    <phoneticPr fontId="1" type="noConversion"/>
  </si>
  <si>
    <t>Lohmanniidae</t>
    <phoneticPr fontId="2" type="noConversion"/>
  </si>
  <si>
    <t>Lohmannioidea</t>
    <phoneticPr fontId="2" type="noConversion"/>
  </si>
  <si>
    <t>Eulohmanniidae</t>
    <phoneticPr fontId="2" type="noConversion"/>
  </si>
  <si>
    <t>Eulohmannioidea</t>
    <phoneticPr fontId="2" type="noConversion"/>
  </si>
  <si>
    <t>Epilohmannioidea</t>
    <phoneticPr fontId="1" type="noConversion"/>
  </si>
  <si>
    <t>Phthiracaroidea</t>
    <phoneticPr fontId="2" type="noConversion"/>
  </si>
  <si>
    <t>Phthiracaridae</t>
    <phoneticPr fontId="2" type="noConversion"/>
  </si>
  <si>
    <t>Nothrina</t>
    <phoneticPr fontId="2" type="noConversion"/>
  </si>
  <si>
    <t>15_Platynothrus</t>
    <phoneticPr fontId="1" type="noConversion"/>
  </si>
  <si>
    <t>19_Malaconothrus</t>
    <phoneticPr fontId="1" type="noConversion"/>
  </si>
  <si>
    <t>22_Hermanni</t>
    <phoneticPr fontId="1" type="noConversion"/>
  </si>
  <si>
    <t>Hermanniodea</t>
    <phoneticPr fontId="2" type="noConversion"/>
  </si>
  <si>
    <t>Carabodoidea</t>
    <phoneticPr fontId="1" type="noConversion"/>
  </si>
  <si>
    <t>Oppioidea</t>
    <phoneticPr fontId="1" type="noConversion"/>
  </si>
  <si>
    <t>Tectocepheoidea</t>
    <phoneticPr fontId="1" type="noConversion"/>
  </si>
  <si>
    <t>Licneremaeoidea</t>
    <phoneticPr fontId="1" type="noConversion"/>
  </si>
  <si>
    <t>Oribatelloidea</t>
    <phoneticPr fontId="1" type="noConversion"/>
  </si>
  <si>
    <t>Ceratozetoidea</t>
    <phoneticPr fontId="1" type="noConversion"/>
  </si>
  <si>
    <t>矮汉甲螨属</t>
    <phoneticPr fontId="3" type="noConversion"/>
  </si>
  <si>
    <t>Pfingstl and Schatz, 2021;</t>
    <phoneticPr fontId="1" type="noConversion"/>
  </si>
  <si>
    <r>
      <rPr>
        <i/>
        <sz val="11"/>
        <color theme="1"/>
        <rFont val="Times New Roman"/>
        <family val="1"/>
      </rPr>
      <t>Eniochthonius</t>
    </r>
    <r>
      <rPr>
        <sz val="11"/>
        <color theme="1"/>
        <rFont val="Times New Roman"/>
        <family val="1"/>
      </rPr>
      <t xml:space="preserve"> was provisionally coded as K-selected at the genus level because closely related taxa within Hypochthonioidea consistently show very long life-history timing. Reported species include </t>
    </r>
    <r>
      <rPr>
        <i/>
        <sz val="11"/>
        <color theme="1"/>
        <rFont val="Times New Roman"/>
        <family val="1"/>
      </rPr>
      <t>Eohypochthonius magnus</t>
    </r>
    <r>
      <rPr>
        <sz val="11"/>
        <color theme="1"/>
        <rFont val="Times New Roman"/>
        <family val="1"/>
      </rPr>
      <t xml:space="preserve"> with an egg–egg period of 730 days and an egg–adult period of 420–450 days, </t>
    </r>
    <r>
      <rPr>
        <i/>
        <sz val="11"/>
        <color theme="1"/>
        <rFont val="Times New Roman"/>
        <family val="1"/>
      </rPr>
      <t>Hypochthonius rufulus</t>
    </r>
    <r>
      <rPr>
        <sz val="11"/>
        <color theme="1"/>
        <rFont val="Times New Roman"/>
        <family val="1"/>
      </rPr>
      <t xml:space="preserve"> with an egg–egg period of 730 days, and </t>
    </r>
    <r>
      <rPr>
        <i/>
        <sz val="11"/>
        <color theme="1"/>
        <rFont val="Times New Roman"/>
        <family val="1"/>
      </rPr>
      <t>Archoplophora rostralis</t>
    </r>
    <r>
      <rPr>
        <sz val="11"/>
        <color theme="1"/>
        <rFont val="Times New Roman"/>
        <family val="1"/>
      </rPr>
      <t xml:space="preserve"> with an egg–egg period of 730 days (Pfingstl and Schatz, 2021). Taken together, these data indicate slow development, long generation time, and low population turnover, supporting a K-selected assignment for </t>
    </r>
    <r>
      <rPr>
        <i/>
        <sz val="11"/>
        <color theme="1"/>
        <rFont val="Times New Roman"/>
        <family val="1"/>
      </rPr>
      <t>Eniochthonius</t>
    </r>
    <r>
      <rPr>
        <sz val="11"/>
        <color theme="1"/>
        <rFont val="Times New Roman"/>
        <family val="1"/>
      </rPr>
      <t xml:space="preserve"> at the genus level.</t>
    </r>
    <phoneticPr fontId="1" type="noConversion"/>
  </si>
  <si>
    <r>
      <rPr>
        <sz val="11"/>
        <color theme="1"/>
        <rFont val="楷体"/>
        <family val="3"/>
        <charset val="134"/>
      </rPr>
      <t xml:space="preserve">真罗甲螨属
</t>
    </r>
    <r>
      <rPr>
        <sz val="11"/>
        <color theme="1"/>
        <rFont val="Times New Roman"/>
        <family val="1"/>
      </rPr>
      <t>7_Eulohmannia
(Abundance = 31)
(Frequency = 2)</t>
    </r>
    <phoneticPr fontId="1" type="noConversion"/>
  </si>
  <si>
    <r>
      <rPr>
        <sz val="11"/>
        <color theme="1"/>
        <rFont val="楷体"/>
        <family val="3"/>
        <charset val="134"/>
      </rPr>
      <t xml:space="preserve">缝甲螨属
</t>
    </r>
    <r>
      <rPr>
        <sz val="11"/>
        <color theme="1"/>
        <rFont val="Times New Roman"/>
        <family val="1"/>
      </rPr>
      <t>3_Hypochthonius
(Abundance = 76)
(Frequency = 6)</t>
    </r>
    <phoneticPr fontId="1" type="noConversion"/>
  </si>
  <si>
    <t>Pfingstl and Schatz, 2021;
Lu et al., 2025</t>
    <phoneticPr fontId="1" type="noConversion"/>
  </si>
  <si>
    <r>
      <rPr>
        <i/>
        <sz val="11"/>
        <color theme="1"/>
        <rFont val="Times New Roman"/>
        <family val="1"/>
      </rPr>
      <t xml:space="preserve">Protokalumma </t>
    </r>
    <r>
      <rPr>
        <sz val="11"/>
        <color theme="1"/>
        <rFont val="Times New Roman"/>
        <family val="1"/>
      </rPr>
      <t xml:space="preserve">was provisionally coded as intermediate at the genus level because the related parakalummid species </t>
    </r>
    <r>
      <rPr>
        <i/>
        <sz val="11"/>
        <color theme="1"/>
        <rFont val="Times New Roman"/>
        <family val="1"/>
      </rPr>
      <t>Neoribates gracilis</t>
    </r>
    <r>
      <rPr>
        <sz val="11"/>
        <color theme="1"/>
        <rFont val="Times New Roman"/>
        <family val="1"/>
      </rPr>
      <t xml:space="preserve"> shows a long lifespan (731 days) but reaches maturity in 42 days and has a short egg incubation period (5.5 days), with an annual fecundity of 27.3 eggs per female per year (Pfingstl and Schatz, 2021; Lu et al., 2025). Together, these traits suggest an intermediate life-history strategy characterized by relatively fast early development and prolonged adult persistence.</t>
    </r>
    <phoneticPr fontId="1" type="noConversion"/>
  </si>
  <si>
    <r>
      <rPr>
        <i/>
        <sz val="11"/>
        <color theme="1"/>
        <rFont val="Times New Roman"/>
        <family val="1"/>
      </rPr>
      <t xml:space="preserve">Mochlozetes </t>
    </r>
    <r>
      <rPr>
        <sz val="11"/>
        <color theme="1"/>
        <rFont val="Times New Roman"/>
        <family val="1"/>
      </rPr>
      <t xml:space="preserve">was provisionally coded as r-selected at the genus level because related mochlozetid species show short generation time and developmental time, including </t>
    </r>
    <r>
      <rPr>
        <i/>
        <sz val="11"/>
        <color theme="1"/>
        <rFont val="Times New Roman"/>
        <family val="1"/>
      </rPr>
      <t>Drymobatoides malabaricus</t>
    </r>
    <r>
      <rPr>
        <sz val="11"/>
        <color theme="1"/>
        <rFont val="Times New Roman"/>
        <family val="1"/>
      </rPr>
      <t xml:space="preserve"> with a generation time of ca. 60 days and a developmental time of 17–26 days, and </t>
    </r>
    <r>
      <rPr>
        <i/>
        <sz val="11"/>
        <color theme="1"/>
        <rFont val="Times New Roman"/>
        <family val="1"/>
      </rPr>
      <t>Uracrobates indicus</t>
    </r>
    <r>
      <rPr>
        <sz val="11"/>
        <color theme="1"/>
        <rFont val="Times New Roman"/>
        <family val="1"/>
      </rPr>
      <t xml:space="preserve"> with a generation time of ca. 50 days and a developmental time of 33 days (Pfingstl and Schatz, 2021). Together, these values indicate relatively rapid development and short generation time, supporting an r-selected assignment for </t>
    </r>
    <r>
      <rPr>
        <i/>
        <sz val="11"/>
        <color theme="1"/>
        <rFont val="Times New Roman"/>
        <family val="1"/>
      </rPr>
      <t xml:space="preserve">Mochlozetes </t>
    </r>
    <r>
      <rPr>
        <sz val="11"/>
        <color theme="1"/>
        <rFont val="Times New Roman"/>
        <family val="1"/>
      </rPr>
      <t>at the genus level.</t>
    </r>
    <phoneticPr fontId="1" type="noConversion"/>
  </si>
  <si>
    <t>28_Allosuctobelba</t>
    <phoneticPr fontId="2" type="noConversion"/>
  </si>
  <si>
    <r>
      <rPr>
        <sz val="11"/>
        <color theme="1"/>
        <rFont val="楷体"/>
        <family val="3"/>
        <charset val="134"/>
      </rPr>
      <t xml:space="preserve">小盾珠甲螨属
</t>
    </r>
    <r>
      <rPr>
        <sz val="11"/>
        <color theme="1"/>
        <rFont val="Times New Roman"/>
        <family val="1"/>
      </rPr>
      <t>27_Suctobelbella
(Abundance = 7)
(Frequency = 2)</t>
    </r>
    <phoneticPr fontId="1" type="noConversion"/>
  </si>
  <si>
    <r>
      <rPr>
        <sz val="11"/>
        <color theme="1"/>
        <rFont val="楷体"/>
        <family val="3"/>
        <charset val="134"/>
      </rPr>
      <t xml:space="preserve">异盾珠甲螨属
</t>
    </r>
    <r>
      <rPr>
        <sz val="11"/>
        <color theme="1"/>
        <rFont val="Times New Roman"/>
        <family val="1"/>
      </rPr>
      <t>28_Allosuctobelba
(Abundance = 37)
(Frequency = 5)</t>
    </r>
    <phoneticPr fontId="1" type="noConversion"/>
  </si>
  <si>
    <t>Wehner et al., 2021</t>
    <phoneticPr fontId="1" type="noConversion"/>
  </si>
  <si>
    <r>
      <t>intermediate
(</t>
    </r>
    <r>
      <rPr>
        <b/>
        <sz val="11"/>
        <color theme="1"/>
        <rFont val="Times New Roman"/>
        <family val="1"/>
      </rPr>
      <t>2</t>
    </r>
    <r>
      <rPr>
        <sz val="11"/>
        <color theme="1"/>
        <rFont val="Times New Roman"/>
        <family val="1"/>
      </rPr>
      <t>)</t>
    </r>
    <phoneticPr fontId="2" type="noConversion"/>
  </si>
  <si>
    <r>
      <rPr>
        <i/>
        <sz val="11"/>
        <color theme="1"/>
        <rFont val="Times New Roman"/>
        <family val="1"/>
      </rPr>
      <t>Suctobelbella</t>
    </r>
    <r>
      <rPr>
        <sz val="11"/>
        <color theme="1"/>
        <rFont val="Times New Roman"/>
        <family val="1"/>
      </rPr>
      <t xml:space="preserve"> was provisionally coded as intermediate at the genus level because available records show that </t>
    </r>
    <r>
      <rPr>
        <i/>
        <sz val="11"/>
        <color theme="1"/>
        <rFont val="Times New Roman"/>
        <family val="1"/>
      </rPr>
      <t>Suctobelbella spp.</t>
    </r>
    <r>
      <rPr>
        <sz val="11"/>
        <color theme="1"/>
        <rFont val="Times New Roman"/>
        <family val="1"/>
      </rPr>
      <t xml:space="preserve">, </t>
    </r>
    <r>
      <rPr>
        <i/>
        <sz val="11"/>
        <color theme="1"/>
        <rFont val="Times New Roman"/>
        <family val="1"/>
      </rPr>
      <t>S. acutidens</t>
    </r>
    <r>
      <rPr>
        <sz val="11"/>
        <color theme="1"/>
        <rFont val="Times New Roman"/>
        <family val="1"/>
      </rPr>
      <t xml:space="preserve">, </t>
    </r>
    <r>
      <rPr>
        <i/>
        <sz val="11"/>
        <color theme="1"/>
        <rFont val="Times New Roman"/>
        <family val="1"/>
      </rPr>
      <t>S. sarekensis</t>
    </r>
    <r>
      <rPr>
        <sz val="11"/>
        <color theme="1"/>
        <rFont val="Times New Roman"/>
        <family val="1"/>
      </rPr>
      <t xml:space="preserve">, </t>
    </r>
    <r>
      <rPr>
        <i/>
        <sz val="11"/>
        <color theme="1"/>
        <rFont val="Times New Roman"/>
        <family val="1"/>
      </rPr>
      <t>S. subcornigera</t>
    </r>
    <r>
      <rPr>
        <sz val="11"/>
        <color theme="1"/>
        <rFont val="Times New Roman"/>
        <family val="1"/>
      </rPr>
      <t xml:space="preserve">, and </t>
    </r>
    <r>
      <rPr>
        <i/>
        <sz val="11"/>
        <color theme="1"/>
        <rFont val="Times New Roman"/>
        <family val="1"/>
      </rPr>
      <t>S. subtrigona</t>
    </r>
    <r>
      <rPr>
        <sz val="11"/>
        <color theme="1"/>
        <rFont val="Times New Roman"/>
        <family val="1"/>
      </rPr>
      <t xml:space="preserve"> were repeatedly reported with values of 1.0 eggs per female (Wehner et al., 2021). Taken together, these records indicate a stable pattern of low egg production; however, in the absence of direct data on generation time, developmental time, adult lifespan, and total lifespan, an intermediate assignment is the more conservative inference.</t>
    </r>
    <phoneticPr fontId="1" type="noConversion"/>
  </si>
  <si>
    <r>
      <rPr>
        <i/>
        <sz val="11"/>
        <color theme="1"/>
        <rFont val="Times New Roman"/>
        <family val="1"/>
      </rPr>
      <t>Allosuctobelba</t>
    </r>
    <r>
      <rPr>
        <sz val="11"/>
        <color theme="1"/>
        <rFont val="Times New Roman"/>
        <family val="1"/>
      </rPr>
      <t xml:space="preserve"> was provisionally coded as intermediate at the genus level based on a family-level proxy within Suctobelbidae. Although no direct egg-production value was located for </t>
    </r>
    <r>
      <rPr>
        <i/>
        <sz val="11"/>
        <color theme="1"/>
        <rFont val="Times New Roman"/>
        <family val="1"/>
      </rPr>
      <t>Allosuctobelba</t>
    </r>
    <r>
      <rPr>
        <sz val="11"/>
        <color theme="1"/>
        <rFont val="Times New Roman"/>
        <family val="1"/>
      </rPr>
      <t xml:space="preserve">, available records from the same family were highly concordant, with repeated values of 1.0 eggs per female reported for several </t>
    </r>
    <r>
      <rPr>
        <i/>
        <sz val="11"/>
        <color theme="1"/>
        <rFont val="Times New Roman"/>
        <family val="1"/>
      </rPr>
      <t>Suctobelbella</t>
    </r>
    <r>
      <rPr>
        <sz val="11"/>
        <color theme="1"/>
        <rFont val="Times New Roman"/>
        <family val="1"/>
      </rPr>
      <t xml:space="preserve"> taxa (Wehner et al., 2021). Taken together, these records indicate a stable pattern of low egg production within the family; however, in the absence of direct data on generation time, developmental time, adult lifespan, and total lifespan, an intermediate assignment is the more conservative inference.</t>
    </r>
    <phoneticPr fontId="1" type="noConversion"/>
  </si>
  <si>
    <r>
      <rPr>
        <i/>
        <sz val="11"/>
        <color theme="1"/>
        <rFont val="Times New Roman"/>
        <family val="1"/>
      </rPr>
      <t xml:space="preserve">Cultroribula </t>
    </r>
    <r>
      <rPr>
        <sz val="11"/>
        <color theme="1"/>
        <rFont val="Times New Roman"/>
        <family val="1"/>
      </rPr>
      <t xml:space="preserve">was provisionally coded as intermediate at the genus level. Available records show that </t>
    </r>
    <r>
      <rPr>
        <i/>
        <sz val="11"/>
        <color theme="1"/>
        <rFont val="Times New Roman"/>
        <family val="1"/>
      </rPr>
      <t>C. bicultrata</t>
    </r>
    <r>
      <rPr>
        <sz val="11"/>
        <color theme="1"/>
        <rFont val="Times New Roman"/>
        <family val="1"/>
      </rPr>
      <t xml:space="preserve"> was reported with 1.2–2.2 eggs per female (Wehner et al., 2021). These values indicate moderate rather than minimal egg production and are therefore most consistent with this life-history strategy.</t>
    </r>
    <phoneticPr fontId="1" type="noConversion"/>
  </si>
  <si>
    <t>Behan-Pelletier and Lindo, 2022, p. 70;
Norton and Ermilov, 2022</t>
    <phoneticPr fontId="1" type="noConversion"/>
  </si>
  <si>
    <r>
      <rPr>
        <i/>
        <sz val="11"/>
        <color theme="1"/>
        <rFont val="Times New Roman"/>
        <family val="1"/>
      </rPr>
      <t xml:space="preserve">Eulohmannia </t>
    </r>
    <r>
      <rPr>
        <sz val="11"/>
        <color theme="1"/>
        <rFont val="Times New Roman"/>
        <family val="1"/>
      </rPr>
      <t>was provisionally coded as intermediate at the genus level because</t>
    </r>
    <r>
      <rPr>
        <i/>
        <sz val="11"/>
        <color theme="1"/>
        <rFont val="Times New Roman"/>
        <family val="1"/>
      </rPr>
      <t xml:space="preserve"> E. ribagai</t>
    </r>
    <r>
      <rPr>
        <sz val="11"/>
        <color theme="1"/>
        <rFont val="Times New Roman"/>
        <family val="1"/>
      </rPr>
      <t xml:space="preserve"> has been inferred to have an approximately one-year generation time, while gravid females usually carry a single large egg (Behan-Pelletier and Lindo, 2022; Norton and Ermilov, 2022). Although reproduction may proceed relatively quickly under favorable conditions, direct data on developmental time, adult lifespan, and total lifespan are still lacking. Therefore, an intermediate assignment is the more conservative inference.</t>
    </r>
    <phoneticPr fontId="1" type="noConversion"/>
  </si>
  <si>
    <r>
      <rPr>
        <sz val="11"/>
        <color theme="1"/>
        <rFont val="楷体"/>
        <family val="3"/>
        <charset val="134"/>
      </rPr>
      <t xml:space="preserve">上罗甲螨属
</t>
    </r>
    <r>
      <rPr>
        <sz val="11"/>
        <color theme="1"/>
        <rFont val="Times New Roman"/>
        <family val="1"/>
      </rPr>
      <t>8_Epilohmannia
(Abundance = 79)
(Frequency = 5)</t>
    </r>
    <phoneticPr fontId="1" type="noConversion"/>
  </si>
  <si>
    <t>Behan-Pelletier and Lindo, 2022, p. 71;</t>
    <phoneticPr fontId="1" type="noConversion"/>
  </si>
  <si>
    <t>Epilohmannia was provisionally coded as intermediate at the genus level because available records indicate that Epilohmannia cylindrica has been reported as parthenogenetic and that gravid females carry a single egg. Taken together, these observations support an intermediate assignment as the most conservative inference.</t>
    <phoneticPr fontId="1" type="noConversion"/>
  </si>
  <si>
    <t xml:space="preserve">Walter et al., 2014, p. 110
</t>
    <phoneticPr fontId="2" type="noConversion"/>
  </si>
  <si>
    <t>Li and Li, 1989, pp. 277-279;
Walter et al., 2014, pp. 109-112;
Behan-Pelletier and Lindo, 2022, p. 98</t>
    <phoneticPr fontId="2" type="noConversion"/>
  </si>
  <si>
    <r>
      <t>Li and Li, 1989, pp. 277-279;
Walter et al., 2014, pp. 109, 112;
Behan-Pelletier and Lindo, 2022, p. 9</t>
    </r>
    <r>
      <rPr>
        <sz val="11"/>
        <color theme="1"/>
        <rFont val="宋体"/>
        <family val="1"/>
        <charset val="134"/>
      </rPr>
      <t>8</t>
    </r>
    <phoneticPr fontId="2" type="noConversion"/>
  </si>
  <si>
    <r>
      <rPr>
        <sz val="11"/>
        <color theme="1"/>
        <rFont val="楷体"/>
        <family val="3"/>
        <charset val="134"/>
      </rPr>
      <t xml:space="preserve">原大翼甲螨属
</t>
    </r>
    <r>
      <rPr>
        <sz val="11"/>
        <color theme="1"/>
        <rFont val="Times New Roman"/>
        <family val="1"/>
      </rPr>
      <t>38_Protokalumma
(Abundance = 148)
(Frequency = 7)</t>
    </r>
    <phoneticPr fontId="1" type="noConversion"/>
  </si>
  <si>
    <t>(8) Hermannioidea</t>
    <phoneticPr fontId="2" type="noConversion"/>
  </si>
  <si>
    <r>
      <rPr>
        <sz val="11"/>
        <color theme="1"/>
        <rFont val="楷体"/>
        <family val="3"/>
        <charset val="134"/>
      </rPr>
      <t xml:space="preserve">直卷甲螨属
</t>
    </r>
    <r>
      <rPr>
        <sz val="11"/>
        <color theme="1"/>
        <rFont val="Times New Roman"/>
        <family val="1"/>
      </rPr>
      <t>1_Archoplophora
(Abundance = 95)
(Frequency = 4)</t>
    </r>
    <phoneticPr fontId="1" type="noConversion"/>
  </si>
  <si>
    <t>NOTES</t>
    <phoneticPr fontId="1" type="noConversion"/>
  </si>
  <si>
    <t>Body length (mm)</t>
    <phoneticPr fontId="1" type="noConversion"/>
  </si>
  <si>
    <t>Body width (mm)</t>
    <phoneticPr fontId="1" type="noConversion"/>
  </si>
  <si>
    <t>TD_total</t>
  </si>
  <si>
    <t>TD_repl</t>
  </si>
  <si>
    <t>TD_rich</t>
  </si>
  <si>
    <t>FD_total</t>
  </si>
  <si>
    <t>FD_repl</t>
  </si>
  <si>
    <t>FD_rich</t>
  </si>
  <si>
    <t>PD_total</t>
  </si>
  <si>
    <t>PD_repl</t>
  </si>
  <si>
    <t>PD_rich</t>
  </si>
  <si>
    <t>Spr_TL_1</t>
  </si>
  <si>
    <t>Spr_TL_2</t>
  </si>
  <si>
    <t>Spr_TL</t>
  </si>
  <si>
    <t>within</t>
  </si>
  <si>
    <t>Spr_TL vs Spr_TL</t>
  </si>
  <si>
    <t>Spr_TL_3</t>
  </si>
  <si>
    <t>Spr_TL_4</t>
  </si>
  <si>
    <t>Spr_TL_5</t>
  </si>
  <si>
    <t>Cas_TL_6</t>
  </si>
  <si>
    <t>Cas_TL</t>
  </si>
  <si>
    <t>between</t>
  </si>
  <si>
    <t>Cas_TL_7</t>
  </si>
  <si>
    <t>Cas_TL vs Cas_TL</t>
  </si>
  <si>
    <t>Cas_TL_8</t>
  </si>
  <si>
    <t>Cas_TL_9</t>
  </si>
  <si>
    <t>Cas_TL_10</t>
  </si>
  <si>
    <t>Cus_TL_11</t>
  </si>
  <si>
    <t>Cus_TL</t>
  </si>
  <si>
    <t>Cas_TL vs Cus_TL</t>
  </si>
  <si>
    <t>Cus_TL_12</t>
  </si>
  <si>
    <t>Cus_TL vs Cus_TL</t>
  </si>
  <si>
    <t>Cus_TL_13</t>
  </si>
  <si>
    <t>Cus_TL_14</t>
  </si>
  <si>
    <t>Cus_TL_15</t>
  </si>
  <si>
    <t>Rap_TL_16</t>
  </si>
  <si>
    <t>Rap_TL</t>
  </si>
  <si>
    <t>Cas_TL vs Rap_TL</t>
  </si>
  <si>
    <t>Cus_TL vs Rap_TL</t>
  </si>
  <si>
    <t>Rap_TL_17</t>
  </si>
  <si>
    <t>Rap_TL vs Rap_TL</t>
  </si>
  <si>
    <t>Rap_TL_18</t>
  </si>
  <si>
    <t>Rap_TL_19</t>
  </si>
  <si>
    <t>Rap_TL_20</t>
  </si>
  <si>
    <t>Rim_TL_21</t>
  </si>
  <si>
    <t>Rim_TL</t>
  </si>
  <si>
    <t>Cas_TL vs Rim_TL</t>
  </si>
  <si>
    <t>Cus_TL vs Rim_TL</t>
  </si>
  <si>
    <t>Rap_TL vs Rim_TL</t>
  </si>
  <si>
    <t>Rim_TL_22</t>
  </si>
  <si>
    <t>Rim_TL vs Rim_TL</t>
  </si>
  <si>
    <t>Rim_TL_23</t>
  </si>
  <si>
    <t>Rim_TL_24</t>
  </si>
  <si>
    <t>Rim_TL_25</t>
  </si>
  <si>
    <t>Spr_TL_1</t>
    <phoneticPr fontId="1" type="noConversion"/>
  </si>
  <si>
    <t>Spr_TL vs Cas_TL</t>
  </si>
  <si>
    <t>Spr_TL vs Cus_TL</t>
  </si>
  <si>
    <t>Spr_TL vs Rap_TL</t>
  </si>
  <si>
    <t>Spr_TL vs Rim_TL</t>
  </si>
  <si>
    <t>Sample_1</t>
    <phoneticPr fontId="1" type="noConversion"/>
  </si>
  <si>
    <t>Sample_2</t>
    <phoneticPr fontId="1" type="noConversion"/>
  </si>
  <si>
    <t>Landscape_1</t>
    <phoneticPr fontId="1" type="noConversion"/>
  </si>
  <si>
    <t>Landscape_2</t>
    <phoneticPr fontId="1" type="noConversion"/>
  </si>
  <si>
    <t>Landscape_pair</t>
    <phoneticPr fontId="1" type="noConversion"/>
  </si>
  <si>
    <t>Pair_type</t>
    <phoneticPr fontId="1" type="noConversion"/>
  </si>
  <si>
    <r>
      <t>Each row represents one pairwise comparison between two oribatid mite assemblages extracted from mixed moss samples. The dataset contains 300 pairwise comparisons generated from 25 mixed moss samples. All beta-diversity values were calculated using the Jaccard dissimilarity index and range from 0 to 1.
The within-landscape comparisons include five landscape-pair types: Spr_TL vs Spr_TL, Cas_TL vs Cas_TL, Cus_TL vs Cus_TL, Rap_TL vs Rap_TL and Rim_TL vs Rim_TL. Each within-landscape pair type contains 10 pairwise sample comparisons, corresponding to all pairwise combinations among the five samples within each landscape type.
The between-landscape comparisons include ten landscape-pair types: Spr_TL vs Cas_TL, Spr_TL vs Cus_TL, Spr_TL vs Rap_TL, Spr_TL vs Rim_TL, Cas_TL vs Cus_TL, Cas_TL vs Rap_TL, Cas_TL vs Rim_TL, Cus_TL vs Rap_TL, Cus_TL vs Rim_TL and Rap_TL vs Rim_TL. Each between-landscape pair type contains 25 pairwise sample comparisons, corresponding to all combinations between the five samples from one landscape type and the five samples from another landscape type.</t>
    </r>
    <r>
      <rPr>
        <b/>
        <sz val="11"/>
        <color theme="1"/>
        <rFont val="Times New Roman"/>
        <family val="1"/>
      </rPr>
      <t xml:space="preserve">
1. Sample_1 and Sample_2 </t>
    </r>
    <r>
      <rPr>
        <sz val="11"/>
        <color theme="1"/>
        <rFont val="Times New Roman"/>
        <family val="1"/>
      </rPr>
      <t xml:space="preserve">indicate the two sampling units included in each pairwise comparison. 
</t>
    </r>
    <r>
      <rPr>
        <b/>
        <sz val="11"/>
        <color theme="1"/>
        <rFont val="Times New Roman"/>
        <family val="1"/>
      </rPr>
      <t>2. Landscape_1 and Landscape_2</t>
    </r>
    <r>
      <rPr>
        <sz val="11"/>
        <color theme="1"/>
        <rFont val="Times New Roman"/>
        <family val="1"/>
      </rPr>
      <t xml:space="preserve"> indicate the landscape types of Sample_1 and Sample_2, respectively. 
</t>
    </r>
    <r>
      <rPr>
        <b/>
        <sz val="11"/>
        <color theme="1"/>
        <rFont val="Times New Roman"/>
        <family val="1"/>
      </rPr>
      <t>3. Landscape_pair</t>
    </r>
    <r>
      <rPr>
        <sz val="11"/>
        <color theme="1"/>
        <rFont val="Times New Roman"/>
        <family val="1"/>
      </rPr>
      <t xml:space="preserve"> indicates the specific landscape-type combination represented by each sample pair. 
</t>
    </r>
    <r>
      <rPr>
        <b/>
        <sz val="11"/>
        <color theme="1"/>
        <rFont val="Times New Roman"/>
        <family val="1"/>
      </rPr>
      <t xml:space="preserve">4. Pair_type </t>
    </r>
    <r>
      <rPr>
        <sz val="11"/>
        <color theme="1"/>
        <rFont val="Times New Roman"/>
        <family val="1"/>
      </rPr>
      <t xml:space="preserve">indicates whether the two samples were collected from the same or different landscape types. </t>
    </r>
    <r>
      <rPr>
        <b/>
        <sz val="11"/>
        <color theme="1"/>
        <rFont val="Times New Roman"/>
        <family val="1"/>
      </rPr>
      <t>‘within’</t>
    </r>
    <r>
      <rPr>
        <sz val="11"/>
        <color theme="1"/>
        <rFont val="Times New Roman"/>
        <family val="1"/>
      </rPr>
      <t xml:space="preserve"> indicates pairwise comparisons between samples from the same landscape type, whereas </t>
    </r>
    <r>
      <rPr>
        <b/>
        <sz val="11"/>
        <color theme="1"/>
        <rFont val="Times New Roman"/>
        <family val="1"/>
      </rPr>
      <t>‘between’</t>
    </r>
    <r>
      <rPr>
        <sz val="11"/>
        <color theme="1"/>
        <rFont val="Times New Roman"/>
        <family val="1"/>
      </rPr>
      <t xml:space="preserve"> indicates comparisons between samples from different landscape types. 
</t>
    </r>
    <r>
      <rPr>
        <b/>
        <sz val="11"/>
        <color theme="1"/>
        <rFont val="Times New Roman"/>
        <family val="1"/>
      </rPr>
      <t>5. TD, FD and PD</t>
    </r>
    <r>
      <rPr>
        <sz val="11"/>
        <color theme="1"/>
        <rFont val="Times New Roman"/>
        <family val="1"/>
      </rPr>
      <t xml:space="preserve"> denote taxonomic, functional and phylogenetic beta diversity, respectively. For each dimension, </t>
    </r>
    <r>
      <rPr>
        <b/>
        <sz val="11"/>
        <color theme="1"/>
        <rFont val="Times New Roman"/>
        <family val="1"/>
      </rPr>
      <t>‘total’</t>
    </r>
    <r>
      <rPr>
        <sz val="11"/>
        <color theme="1"/>
        <rFont val="Times New Roman"/>
        <family val="1"/>
      </rPr>
      <t xml:space="preserve"> represents total beta diversity, </t>
    </r>
    <r>
      <rPr>
        <b/>
        <sz val="11"/>
        <color theme="1"/>
        <rFont val="Times New Roman"/>
        <family val="1"/>
      </rPr>
      <t xml:space="preserve">‘repl’ </t>
    </r>
    <r>
      <rPr>
        <sz val="11"/>
        <color theme="1"/>
        <rFont val="Times New Roman"/>
        <family val="1"/>
      </rPr>
      <t xml:space="preserve">represents the replacement component, and </t>
    </r>
    <r>
      <rPr>
        <b/>
        <sz val="11"/>
        <color theme="1"/>
        <rFont val="Times New Roman"/>
        <family val="1"/>
      </rPr>
      <t>‘rich’</t>
    </r>
    <r>
      <rPr>
        <sz val="11"/>
        <color theme="1"/>
        <rFont val="Times New Roman"/>
        <family val="1"/>
      </rPr>
      <t xml:space="preserve"> represents the richness-difference component.
</t>
    </r>
    <r>
      <rPr>
        <b/>
        <sz val="11"/>
        <color theme="1"/>
        <rFont val="Times New Roman"/>
        <family val="1"/>
      </rPr>
      <t xml:space="preserve">6. </t>
    </r>
    <r>
      <rPr>
        <sz val="11"/>
        <color theme="1"/>
        <rFont val="Times New Roman"/>
        <family val="1"/>
      </rPr>
      <t xml:space="preserve">Landscape abbreviations are defined as follows: </t>
    </r>
    <r>
      <rPr>
        <b/>
        <sz val="11"/>
        <color theme="1"/>
        <rFont val="Times New Roman"/>
        <family val="1"/>
      </rPr>
      <t>Spr_TL</t>
    </r>
    <r>
      <rPr>
        <sz val="11"/>
        <color theme="1"/>
        <rFont val="Times New Roman"/>
        <family val="1"/>
      </rPr>
      <t xml:space="preserve">, springhead tufa landscapes; </t>
    </r>
    <r>
      <rPr>
        <b/>
        <sz val="11"/>
        <color theme="1"/>
        <rFont val="Times New Roman"/>
        <family val="1"/>
      </rPr>
      <t>Cas_TL</t>
    </r>
    <r>
      <rPr>
        <sz val="11"/>
        <color theme="1"/>
        <rFont val="Times New Roman"/>
        <family val="1"/>
      </rPr>
      <t xml:space="preserve">, cascade tufa landscapes; </t>
    </r>
    <r>
      <rPr>
        <b/>
        <sz val="11"/>
        <color theme="1"/>
        <rFont val="Times New Roman"/>
        <family val="1"/>
      </rPr>
      <t>Cus_TL</t>
    </r>
    <r>
      <rPr>
        <sz val="11"/>
        <color theme="1"/>
        <rFont val="Times New Roman"/>
        <family val="1"/>
      </rPr>
      <t xml:space="preserve">, cushion tufa landscapes; </t>
    </r>
    <r>
      <rPr>
        <b/>
        <sz val="11"/>
        <color theme="1"/>
        <rFont val="Times New Roman"/>
        <family val="1"/>
      </rPr>
      <t>Rap_TL</t>
    </r>
    <r>
      <rPr>
        <sz val="11"/>
        <color theme="1"/>
        <rFont val="Times New Roman"/>
        <family val="1"/>
      </rPr>
      <t xml:space="preserve">, rapid-stream tufa landscapes; and </t>
    </r>
    <r>
      <rPr>
        <b/>
        <sz val="11"/>
        <color theme="1"/>
        <rFont val="Times New Roman"/>
        <family val="1"/>
      </rPr>
      <t>Rim_TL</t>
    </r>
    <r>
      <rPr>
        <sz val="11"/>
        <color theme="1"/>
        <rFont val="Times New Roman"/>
        <family val="1"/>
      </rPr>
      <t>, rimstone-dam tufa landscapes.</t>
    </r>
    <phoneticPr fontId="1" type="noConversion"/>
  </si>
  <si>
    <t>Replacement component</t>
  </si>
  <si>
    <t>Richness-difference component</t>
  </si>
  <si>
    <t>Test type</t>
    <phoneticPr fontId="1" type="noConversion"/>
  </si>
  <si>
    <t>Beta diversity component</t>
    <phoneticPr fontId="1" type="noConversion"/>
  </si>
  <si>
    <t>TD</t>
  </si>
  <si>
    <t>Total beta diversity</t>
  </si>
  <si>
    <t>PERMANOVA</t>
  </si>
  <si>
    <t>ANOSIM</t>
  </si>
  <si>
    <t>R</t>
  </si>
  <si>
    <t>MRPP</t>
  </si>
  <si>
    <t>FD</t>
  </si>
  <si>
    <t>PD</t>
  </si>
  <si>
    <t xml:space="preserve">Beta diversity </t>
    <phoneticPr fontId="1" type="noConversion"/>
  </si>
  <si>
    <t>Effect size</t>
    <phoneticPr fontId="1" type="noConversion"/>
  </si>
  <si>
    <t>group1</t>
  </si>
  <si>
    <t>group2</t>
  </si>
  <si>
    <t>Spr.-TL</t>
  </si>
  <si>
    <t>Cas.-TL</t>
  </si>
  <si>
    <t>Rap.-TL</t>
  </si>
  <si>
    <t>Rim.-TL</t>
  </si>
  <si>
    <t>Cus.-TL</t>
  </si>
  <si>
    <t>Stream–substrate conditions</t>
    <phoneticPr fontId="1" type="noConversion"/>
  </si>
  <si>
    <t>Moss functional status</t>
    <phoneticPr fontId="1" type="noConversion"/>
  </si>
  <si>
    <r>
      <rPr>
        <sz val="11"/>
        <color theme="1"/>
        <rFont val="楷体"/>
        <family val="3"/>
        <charset val="134"/>
      </rPr>
      <t xml:space="preserve">角单翼甲螨属
</t>
    </r>
    <r>
      <rPr>
        <sz val="11"/>
        <color theme="1"/>
        <rFont val="Times New Roman"/>
        <family val="1"/>
      </rPr>
      <t>42_Rostrozetes
(Abundance = 347)
(Frequency = 9)</t>
    </r>
    <phoneticPr fontId="1" type="noConversion"/>
  </si>
  <si>
    <t>Behan-Pelletier and Lindo, 2022, p. 201</t>
    <phoneticPr fontId="2" type="noConversion"/>
  </si>
  <si>
    <t>Measured range: 346–404 μm.</t>
    <phoneticPr fontId="2" type="noConversion"/>
  </si>
  <si>
    <t>Li and Li, 1989, pp. 416-417;
Behan-Pelletier and Lindo, 2022, p. 198</t>
    <phoneticPr fontId="2" type="noConversion"/>
  </si>
  <si>
    <t>Li and Li, 1989, pp. 404-406;
Behan-Pelletier and Lindo, 2022, p. 198</t>
    <phoneticPr fontId="2" type="noConversion"/>
  </si>
  <si>
    <t>Li and Li, 1989, pp. 404-406</t>
    <phoneticPr fontId="2" type="noConversion"/>
  </si>
  <si>
    <t>Spatial factors</t>
    <phoneticPr fontId="1" type="noConversion"/>
  </si>
  <si>
    <r>
      <t>R</t>
    </r>
    <r>
      <rPr>
        <vertAlign val="superscript"/>
        <sz val="11"/>
        <color theme="1"/>
        <rFont val="Times New Roman"/>
        <family val="1"/>
      </rPr>
      <t>2</t>
    </r>
    <phoneticPr fontId="1" type="noConversion"/>
  </si>
  <si>
    <t>Body-wall sclerotization</t>
    <phoneticPr fontId="1" type="noConversion"/>
  </si>
  <si>
    <t>Reproductive mode</t>
    <phoneticPr fontId="1" type="noConversion"/>
  </si>
  <si>
    <t>Pteromorph development</t>
    <phoneticPr fontId="1" type="noConversion"/>
  </si>
  <si>
    <t>Claw number</t>
    <phoneticPr fontId="1" type="noConversion"/>
  </si>
  <si>
    <t>Life-history strategy</t>
    <phoneticPr fontId="1" type="noConversion"/>
  </si>
  <si>
    <t>Trophic guild</t>
    <phoneticPr fontId="1" type="noConversion"/>
  </si>
  <si>
    <t xml:space="preserve">Body width </t>
    <phoneticPr fontId="1" type="noConversion"/>
  </si>
  <si>
    <t xml:space="preserve">Body length </t>
    <phoneticPr fontId="1" type="noConversion"/>
  </si>
  <si>
    <r>
      <t xml:space="preserve">Pairwise effects of petrifying spring landscape type on taxonomic beta diversity, functional beta diversity, and phylogenetic beta diversity components were tested using PERMANOVA, ANOSIM, and MRPP based on genus-level presence-absence data.
</t>
    </r>
    <r>
      <rPr>
        <b/>
        <sz val="11"/>
        <color theme="1"/>
        <rFont val="Times New Roman"/>
        <family val="1"/>
      </rPr>
      <t>1. The beta diversity component</t>
    </r>
    <r>
      <rPr>
        <sz val="11"/>
        <color theme="1"/>
        <rFont val="Times New Roman"/>
        <family val="1"/>
      </rPr>
      <t xml:space="preserve"> indicates whether the analysis was conducted for total beta diversity, the replacement component, or the richness-difference component. 
</t>
    </r>
    <r>
      <rPr>
        <b/>
        <sz val="11"/>
        <color theme="1"/>
        <rFont val="Times New Roman"/>
        <family val="1"/>
      </rPr>
      <t>2. Group1 and Group2</t>
    </r>
    <r>
      <rPr>
        <sz val="11"/>
        <color theme="1"/>
        <rFont val="Times New Roman"/>
        <family val="1"/>
      </rPr>
      <t xml:space="preserve"> indicate the pair of landscape types compared. 
</t>
    </r>
    <r>
      <rPr>
        <b/>
        <sz val="11"/>
        <color theme="1"/>
        <rFont val="Times New Roman"/>
        <family val="1"/>
      </rPr>
      <t>3. For PERMANOVA, R²</t>
    </r>
    <r>
      <rPr>
        <sz val="11"/>
        <color theme="1"/>
        <rFont val="Times New Roman"/>
        <family val="1"/>
      </rPr>
      <t xml:space="preserve"> represents the proportion of variation explained by landscape type; </t>
    </r>
    <r>
      <rPr>
        <b/>
        <sz val="11"/>
        <color theme="1"/>
        <rFont val="Times New Roman"/>
        <family val="1"/>
      </rPr>
      <t>for ANOSIM, R</t>
    </r>
    <r>
      <rPr>
        <sz val="11"/>
        <color theme="1"/>
        <rFont val="Times New Roman"/>
        <family val="1"/>
      </rPr>
      <t xml:space="preserve"> measures the separation between landscape groups based on ranked dissimilarities; </t>
    </r>
    <r>
      <rPr>
        <b/>
        <sz val="11"/>
        <color theme="1"/>
        <rFont val="Times New Roman"/>
        <family val="1"/>
      </rPr>
      <t>for MRPP, A</t>
    </r>
    <r>
      <rPr>
        <sz val="11"/>
        <color theme="1"/>
        <rFont val="Times New Roman"/>
        <family val="1"/>
      </rPr>
      <t xml:space="preserve"> represents the chance-corrected within-group agreement. 
4. </t>
    </r>
    <r>
      <rPr>
        <b/>
        <sz val="11"/>
        <color theme="1"/>
        <rFont val="Times New Roman"/>
        <family val="1"/>
      </rPr>
      <t>P values</t>
    </r>
    <r>
      <rPr>
        <sz val="11"/>
        <color theme="1"/>
        <rFont val="Times New Roman"/>
        <family val="1"/>
      </rPr>
      <t xml:space="preserve"> were obtained from 9,999 permutations and were adjusted for multiple testing using the Benjamini–Hochberg method. “ns” indicates non-significant results (adjusted P &gt; 0.05). Significant results are shown in bold.</t>
    </r>
    <phoneticPr fontId="1" type="noConversion"/>
  </si>
  <si>
    <t>P value</t>
    <phoneticPr fontId="1" type="noConversion"/>
  </si>
  <si>
    <r>
      <t>P</t>
    </r>
    <r>
      <rPr>
        <b/>
        <vertAlign val="subscript"/>
        <sz val="11"/>
        <color theme="1"/>
        <rFont val="Times New Roman"/>
        <family val="1"/>
      </rPr>
      <t>adj</t>
    </r>
    <r>
      <rPr>
        <b/>
        <sz val="11"/>
        <color theme="1"/>
        <rFont val="Times New Roman"/>
        <family val="1"/>
      </rPr>
      <t xml:space="preserve"> value</t>
    </r>
    <phoneticPr fontId="1" type="noConversion"/>
  </si>
  <si>
    <r>
      <rPr>
        <b/>
        <sz val="11"/>
        <color theme="1"/>
        <rFont val="Times New Roman"/>
        <family val="1"/>
      </rPr>
      <t>(1) Body length and body width</t>
    </r>
    <r>
      <rPr>
        <sz val="11"/>
        <color theme="1"/>
        <rFont val="Times New Roman"/>
        <family val="1"/>
      </rPr>
      <t xml:space="preserve"> are genus-level mean values measured from adult individuals and are expressed in μm. 
</t>
    </r>
    <r>
      <rPr>
        <b/>
        <sz val="11"/>
        <color theme="1"/>
        <rFont val="Times New Roman"/>
        <family val="1"/>
      </rPr>
      <t>(2) Body-wall sclerotization</t>
    </r>
    <r>
      <rPr>
        <sz val="11"/>
        <color theme="1"/>
        <rFont val="Times New Roman"/>
        <family val="1"/>
      </rPr>
      <t xml:space="preserve"> was coded as an ordered categorical trait: 1 = low, 2 = medium and 3 = high. 
</t>
    </r>
    <r>
      <rPr>
        <b/>
        <sz val="11"/>
        <color theme="1"/>
        <rFont val="Times New Roman"/>
        <family val="1"/>
      </rPr>
      <t xml:space="preserve">(3) Reproductive mode </t>
    </r>
    <r>
      <rPr>
        <sz val="11"/>
        <color theme="1"/>
        <rFont val="Times New Roman"/>
        <family val="1"/>
      </rPr>
      <t xml:space="preserve">was coded as a binary categorical trait: 0 = sexual reproduction and 1 = parthenogenetic reproduction. 
</t>
    </r>
    <r>
      <rPr>
        <b/>
        <sz val="11"/>
        <color theme="1"/>
        <rFont val="Times New Roman"/>
        <family val="1"/>
      </rPr>
      <t>(4) Pteromorph development</t>
    </r>
    <r>
      <rPr>
        <sz val="11"/>
        <color theme="1"/>
        <rFont val="Times New Roman"/>
        <family val="1"/>
      </rPr>
      <t xml:space="preserve"> was treated as a nominal categorical trait, with category labels indicating the presence and type of pteromorphs or humeral projections. 
</t>
    </r>
    <r>
      <rPr>
        <b/>
        <sz val="11"/>
        <color theme="1"/>
        <rFont val="Times New Roman"/>
        <family val="1"/>
      </rPr>
      <t xml:space="preserve">(5) Claw number </t>
    </r>
    <r>
      <rPr>
        <sz val="11"/>
        <color theme="1"/>
        <rFont val="Times New Roman"/>
        <family val="1"/>
      </rPr>
      <t xml:space="preserve">indicates the number of pretarsal claws and was treated as an ordered categorical trait. 
</t>
    </r>
    <r>
      <rPr>
        <b/>
        <sz val="11"/>
        <color theme="1"/>
        <rFont val="Times New Roman"/>
        <family val="1"/>
      </rPr>
      <t>(6) Life-history strategy</t>
    </r>
    <r>
      <rPr>
        <sz val="11"/>
        <color theme="1"/>
        <rFont val="Times New Roman"/>
        <family val="1"/>
      </rPr>
      <t xml:space="preserve"> was coded as an ordered categorical trait: 1 = r-selected, 2 = intermediate and 3 = K-selected. 
</t>
    </r>
    <r>
      <rPr>
        <b/>
        <sz val="11"/>
        <color theme="1"/>
        <rFont val="Times New Roman"/>
        <family val="1"/>
      </rPr>
      <t>(7) Trophic guild</t>
    </r>
    <r>
      <rPr>
        <sz val="11"/>
        <color theme="1"/>
        <rFont val="Times New Roman"/>
        <family val="1"/>
      </rPr>
      <t xml:space="preserve"> was treated as a nominal categorical trait, including herbivore, primary decomposer, fungal feeder and predator. Underscores in trophic-guild labels are used only to avoid spaces in the data file. 
Continuous, ordinal, binary and nominal traits were jointly used to calculate Gower functional distances and to construct the trait-based functional dendrogram for FD analysis.</t>
    </r>
    <phoneticPr fontId="1" type="noConversion"/>
  </si>
  <si>
    <t>NOTES</t>
  </si>
  <si>
    <t>Appendix Table S1. Genus-level taxonomic list and abundance matrix of moss-associated oribatid mites across five tufa landscape types</t>
    <phoneticPr fontId="2" type="noConversion"/>
  </si>
  <si>
    <t>Appendix Table S2. Genus-level functional traits of moss-associated oribatid mites used for functional beta diversity analysis</t>
    <phoneticPr fontId="1" type="noConversion"/>
  </si>
  <si>
    <r>
      <rPr>
        <b/>
        <sz val="11"/>
        <color theme="1"/>
        <rFont val="Times New Roman"/>
        <family val="1"/>
      </rPr>
      <t xml:space="preserve">This table provides the genus-level taxonomic list and abundance matrix of moss-associated oribatid mites collected from 25 site-level moss-mat samples across five tufa landscape types. Taxonomic information includes suborder, superfamily, family, genus and Chinese genus name. Chinese genus names are provided to facilitate use by Chinese-speaking researchers. </t>
    </r>
    <r>
      <rPr>
        <sz val="11"/>
        <color theme="1"/>
        <rFont val="Times New Roman"/>
        <family val="1"/>
      </rPr>
      <t xml:space="preserve">
</t>
    </r>
    <r>
      <rPr>
        <b/>
        <sz val="11"/>
        <color theme="1"/>
        <rFont val="Times New Roman"/>
        <family val="1"/>
      </rPr>
      <t>(1)</t>
    </r>
    <r>
      <rPr>
        <sz val="11"/>
        <color theme="1"/>
        <rFont val="Times New Roman"/>
        <family val="1"/>
      </rPr>
      <t xml:space="preserve"> Values in the sample columns indicate the number of adult oribatid mite individuals recorded for each genus in each site-level sample, and therefore represent abundance data. 
</t>
    </r>
    <r>
      <rPr>
        <b/>
        <sz val="11"/>
        <color theme="1"/>
        <rFont val="Times New Roman"/>
        <family val="1"/>
      </rPr>
      <t xml:space="preserve">(2) </t>
    </r>
    <r>
      <rPr>
        <sz val="11"/>
        <color theme="1"/>
        <rFont val="Times New Roman"/>
        <family val="1"/>
      </rPr>
      <t xml:space="preserve">The summary columns provide the total abundance, occurrence richness and occurrence frequency of each genus across all samples. 
</t>
    </r>
    <r>
      <rPr>
        <b/>
        <sz val="11"/>
        <color theme="1"/>
        <rFont val="Times New Roman"/>
        <family val="1"/>
      </rPr>
      <t>(3)</t>
    </r>
    <r>
      <rPr>
        <sz val="11"/>
        <color theme="1"/>
        <rFont val="Times New Roman"/>
        <family val="1"/>
      </rPr>
      <t xml:space="preserve"> Abundance refers to the total number of individuals recorded for each genus across the 25 samples. 
</t>
    </r>
    <r>
      <rPr>
        <b/>
        <sz val="11"/>
        <color theme="1"/>
        <rFont val="Times New Roman"/>
        <family val="1"/>
      </rPr>
      <t>(4)</t>
    </r>
    <r>
      <rPr>
        <sz val="11"/>
        <color theme="1"/>
        <rFont val="Times New Roman"/>
        <family val="1"/>
      </rPr>
      <t xml:space="preserve"> Richness refers to the number of site-level samples in which the genus occurred. 
</t>
    </r>
    <r>
      <rPr>
        <b/>
        <sz val="11"/>
        <color theme="1"/>
        <rFont val="Times New Roman"/>
        <family val="1"/>
      </rPr>
      <t>(5)</t>
    </r>
    <r>
      <rPr>
        <sz val="11"/>
        <color theme="1"/>
        <rFont val="Times New Roman"/>
        <family val="1"/>
      </rPr>
      <t xml:space="preserve"> Frequency refers to the occurrence frequency of each genus across all 25 samples. 
</t>
    </r>
    <r>
      <rPr>
        <b/>
        <sz val="11"/>
        <color theme="1"/>
        <rFont val="Times New Roman"/>
        <family val="1"/>
      </rPr>
      <t xml:space="preserve">(6) </t>
    </r>
    <r>
      <rPr>
        <sz val="11"/>
        <color theme="1"/>
        <rFont val="Times New Roman"/>
        <family val="1"/>
      </rPr>
      <t>Landscape abbreviations are as follows: Spr.-TL, springhead tufa landscapes; Cas.-TL, cascade tufa landscapes; Cus.-TL, cushion or shallow-flow tufa landscapes; Rap.-TL, rapid-stream tufa landscapes; Rim.-TL, rimstone-dam tufa landscapes.</t>
    </r>
    <phoneticPr fontId="2" type="noConversion"/>
  </si>
  <si>
    <t>Appendix Table S2.1 Genus-level functional trait assignments and coding criteria for moss-associated oribatid mites used in FD analysis</t>
    <phoneticPr fontId="1" type="noConversion"/>
  </si>
  <si>
    <r>
      <t xml:space="preserve">This table provides the genus-level functional trait assignments, coding schemes, assignment rationales, reference sources and ecological interpretations used to construct the functional trait matrix of moss-associated oribatid mites.
(1) Genus: </t>
    </r>
    <r>
      <rPr>
        <sz val="11"/>
        <color theme="1"/>
        <rFont val="Times New Roman"/>
        <family val="1"/>
      </rPr>
      <t>Oribatid mite genus and Chinese genus name. The values in parentheses indicate total abundance and occurrence frequency across the 25 site-level samples.</t>
    </r>
    <r>
      <rPr>
        <b/>
        <sz val="11"/>
        <color theme="1"/>
        <rFont val="Times New Roman"/>
        <family val="1"/>
      </rPr>
      <t xml:space="preserve">
(2) Trait dimension: </t>
    </r>
    <r>
      <rPr>
        <sz val="11"/>
        <color theme="1"/>
        <rFont val="Times New Roman"/>
        <family val="1"/>
      </rPr>
      <t xml:space="preserve">Functional trait category used in this study.
</t>
    </r>
    <r>
      <rPr>
        <b/>
        <sz val="11"/>
        <color theme="1"/>
        <rFont val="Times New Roman"/>
        <family val="1"/>
      </rPr>
      <t>(3) Variable name:</t>
    </r>
    <r>
      <rPr>
        <sz val="11"/>
        <color theme="1"/>
        <rFont val="Times New Roman"/>
        <family val="1"/>
      </rPr>
      <t xml:space="preserve"> Variable name used in the R analysis.
</t>
    </r>
    <r>
      <rPr>
        <b/>
        <sz val="11"/>
        <color theme="1"/>
        <rFont val="Times New Roman"/>
        <family val="1"/>
      </rPr>
      <t>(4) Variable type:</t>
    </r>
    <r>
      <rPr>
        <sz val="11"/>
        <color theme="1"/>
        <rFont val="Times New Roman"/>
        <family val="1"/>
      </rPr>
      <t xml:space="preserve"> Trait data type, including continuous, ordinal, binary and nominal traits.
</t>
    </r>
    <r>
      <rPr>
        <b/>
        <sz val="11"/>
        <color theme="1"/>
        <rFont val="Times New Roman"/>
        <family val="1"/>
      </rPr>
      <t>(5) Coding scheme:</t>
    </r>
    <r>
      <rPr>
        <sz val="11"/>
        <color theme="1"/>
        <rFont val="Times New Roman"/>
        <family val="1"/>
      </rPr>
      <t xml:space="preserve"> Numerical or categorical coding rules used for each trait.
</t>
    </r>
    <r>
      <rPr>
        <b/>
        <sz val="11"/>
        <color theme="1"/>
        <rFont val="Times New Roman"/>
        <family val="1"/>
      </rPr>
      <t>(6) Value assignment:</t>
    </r>
    <r>
      <rPr>
        <sz val="11"/>
        <color theme="1"/>
        <rFont val="Times New Roman"/>
        <family val="1"/>
      </rPr>
      <t xml:space="preserve"> Trait state assigned to each genus based on measurements, observations or literature.
</t>
    </r>
    <r>
      <rPr>
        <b/>
        <sz val="11"/>
        <color theme="1"/>
        <rFont val="Times New Roman"/>
        <family val="1"/>
      </rPr>
      <t>(7) R-ready entry:</t>
    </r>
    <r>
      <rPr>
        <sz val="11"/>
        <color theme="1"/>
        <rFont val="Times New Roman"/>
        <family val="1"/>
      </rPr>
      <t xml:space="preserve"> Final standardized value entered into R for functional-distance calculation.
</t>
    </r>
    <r>
      <rPr>
        <b/>
        <sz val="11"/>
        <color theme="1"/>
        <rFont val="Times New Roman"/>
        <family val="1"/>
      </rPr>
      <t>(8) Assignment rationale:</t>
    </r>
    <r>
      <rPr>
        <sz val="11"/>
        <color theme="1"/>
        <rFont val="Times New Roman"/>
        <family val="1"/>
      </rPr>
      <t xml:space="preserve"> Evidence and reasoning supporting each trait assignment.
</t>
    </r>
    <r>
      <rPr>
        <b/>
        <sz val="11"/>
        <color theme="1"/>
        <rFont val="Times New Roman"/>
        <family val="1"/>
      </rPr>
      <t>(9) References:</t>
    </r>
    <r>
      <rPr>
        <sz val="11"/>
        <color theme="1"/>
        <rFont val="Times New Roman"/>
        <family val="1"/>
      </rPr>
      <t xml:space="preserve"> Literature sources used for trait assignment.
</t>
    </r>
    <r>
      <rPr>
        <b/>
        <sz val="11"/>
        <color theme="1"/>
        <rFont val="Times New Roman"/>
        <family val="1"/>
      </rPr>
      <t>(10) General assignment criteria:</t>
    </r>
    <r>
      <rPr>
        <sz val="11"/>
        <color theme="1"/>
        <rFont val="Times New Roman"/>
        <family val="1"/>
      </rPr>
      <t xml:space="preserve"> General rules used to assign each trait across genera.
</t>
    </r>
    <r>
      <rPr>
        <b/>
        <sz val="11"/>
        <color theme="1"/>
        <rFont val="Times New Roman"/>
        <family val="1"/>
      </rPr>
      <t>(11) Ecological interpretation:</t>
    </r>
    <r>
      <rPr>
        <sz val="11"/>
        <color theme="1"/>
        <rFont val="Times New Roman"/>
        <family val="1"/>
      </rPr>
      <t xml:space="preserve"> Functional meaning of each trait in moss-built tufa microhabitats.
</t>
    </r>
    <phoneticPr fontId="1" type="noConversion"/>
  </si>
  <si>
    <t>Appendix Table S2.2 Stable-isotope evidence used for trophic-guild assignment of oribatid mite genera</t>
    <phoneticPr fontId="1" type="noConversion"/>
  </si>
  <si>
    <r>
      <t xml:space="preserve">This table summarizes stable-isotope evidence used to support trophic-guild assignments of oribatid mite genera. When species-level evidence was unavailable, genus-level, family-level or higher-taxon evidence was used conservatively, together with feeding records, mouthpart morphology and ecological information from the literature (Maraun et al. 2023; Shen et al., 2025).
(1) Suborder: </t>
    </r>
    <r>
      <rPr>
        <sz val="11"/>
        <color theme="1"/>
        <rFont val="Times New Roman"/>
        <family val="1"/>
      </rPr>
      <t xml:space="preserve">Higher taxonomic placement of the oribatid mite taxon.
</t>
    </r>
    <r>
      <rPr>
        <b/>
        <sz val="11"/>
        <color theme="1"/>
        <rFont val="Times New Roman"/>
        <family val="1"/>
      </rPr>
      <t xml:space="preserve">(2) Superfamily: </t>
    </r>
    <r>
      <rPr>
        <sz val="11"/>
        <color theme="1"/>
        <rFont val="Times New Roman"/>
        <family val="1"/>
      </rPr>
      <t xml:space="preserve">Superfamily-level taxonomic placement.
</t>
    </r>
    <r>
      <rPr>
        <b/>
        <sz val="11"/>
        <color theme="1"/>
        <rFont val="Times New Roman"/>
        <family val="1"/>
      </rPr>
      <t xml:space="preserve">(3) Family: </t>
    </r>
    <r>
      <rPr>
        <sz val="11"/>
        <color theme="1"/>
        <rFont val="Times New Roman"/>
        <family val="1"/>
      </rPr>
      <t xml:space="preserve">Family-level taxonomic placement.
</t>
    </r>
    <r>
      <rPr>
        <b/>
        <sz val="11"/>
        <color theme="1"/>
        <rFont val="Times New Roman"/>
        <family val="1"/>
      </rPr>
      <t xml:space="preserve">(4) Genus: </t>
    </r>
    <r>
      <rPr>
        <sz val="11"/>
        <color theme="1"/>
        <rFont val="Times New Roman"/>
        <family val="1"/>
      </rPr>
      <t xml:space="preserve">Genus name of the oribatid mite record.
</t>
    </r>
    <r>
      <rPr>
        <b/>
        <sz val="11"/>
        <color theme="1"/>
        <rFont val="Times New Roman"/>
        <family val="1"/>
      </rPr>
      <t xml:space="preserve">(5) Species: </t>
    </r>
    <r>
      <rPr>
        <sz val="11"/>
        <color theme="1"/>
        <rFont val="Times New Roman"/>
        <family val="1"/>
      </rPr>
      <t xml:space="preserve">Species name associated with the stable-isotope record.
</t>
    </r>
    <r>
      <rPr>
        <b/>
        <sz val="11"/>
        <color theme="1"/>
        <rFont val="Times New Roman"/>
        <family val="1"/>
      </rPr>
      <t xml:space="preserve">(6) δ¹³C: </t>
    </r>
    <r>
      <rPr>
        <sz val="11"/>
        <color theme="1"/>
        <rFont val="Times New Roman"/>
        <family val="1"/>
      </rPr>
      <t xml:space="preserve">Reported carbon stable-isotope value for the species record.
</t>
    </r>
    <r>
      <rPr>
        <b/>
        <sz val="11"/>
        <color theme="1"/>
        <rFont val="Times New Roman"/>
        <family val="1"/>
      </rPr>
      <t xml:space="preserve">(7) δ¹⁵N: </t>
    </r>
    <r>
      <rPr>
        <sz val="11"/>
        <color theme="1"/>
        <rFont val="Times New Roman"/>
        <family val="1"/>
      </rPr>
      <t xml:space="preserve">Reported nitrogen stable-isotope value for the species record.
</t>
    </r>
    <r>
      <rPr>
        <b/>
        <sz val="11"/>
        <color theme="1"/>
        <rFont val="Times New Roman"/>
        <family val="1"/>
      </rPr>
      <t xml:space="preserve">(8) Reference: </t>
    </r>
    <r>
      <rPr>
        <sz val="11"/>
        <color theme="1"/>
        <rFont val="Times New Roman"/>
        <family val="1"/>
      </rPr>
      <t xml:space="preserve">Source of the isotope record.
</t>
    </r>
    <r>
      <rPr>
        <b/>
        <sz val="11"/>
        <color theme="1"/>
        <rFont val="Times New Roman"/>
        <family val="1"/>
      </rPr>
      <t xml:space="preserve">(9) δ¹³C_mean: </t>
    </r>
    <r>
      <rPr>
        <sz val="11"/>
        <color theme="1"/>
        <rFont val="Times New Roman"/>
        <family val="1"/>
      </rPr>
      <t xml:space="preserve">Mean δ¹³C value calculated from available records for a species or genus.
</t>
    </r>
    <r>
      <rPr>
        <b/>
        <sz val="11"/>
        <color theme="1"/>
        <rFont val="Times New Roman"/>
        <family val="1"/>
      </rPr>
      <t xml:space="preserve">(10) δ¹⁵N_mean: </t>
    </r>
    <r>
      <rPr>
        <sz val="11"/>
        <color theme="1"/>
        <rFont val="Times New Roman"/>
        <family val="1"/>
      </rPr>
      <t xml:space="preserve">Mean δ¹⁵N value calculated from available records for a species or genus.
</t>
    </r>
    <r>
      <rPr>
        <b/>
        <sz val="11"/>
        <color theme="1"/>
        <rFont val="Times New Roman"/>
        <family val="1"/>
      </rPr>
      <t xml:space="preserve">(11) Group: </t>
    </r>
    <r>
      <rPr>
        <sz val="11"/>
        <color theme="1"/>
        <rFont val="Times New Roman"/>
        <family val="1"/>
      </rPr>
      <t xml:space="preserve">Trophic category inferred from isotope evidence and literature interpretation.
Maraun, M., Thomas, T., Fast, E., Treibert, N., Caruso, T., Schaefer, I., Lu, J.-Z., &amp; Scheu, S. (2023). New perspectives on soil animal trophic ecology through the lens of C and N stable isotope ratios of oribatid mites. Soil Biology and Biochemistry, 177, 108890. 
Shen, Y., Wei, Q., Zhou, Y., Song, T., Liu, Y., Lyu, X.,... &amp; Chen, H. (2025). Diversity Patterns and Ecological Network Features of Soil Mite Trophic Groups in Karst Cave Ecosystems. Ecology and Evolution, 15(11), e72505.
</t>
    </r>
    <phoneticPr fontId="1" type="noConversion"/>
  </si>
  <si>
    <t>Appendix Table S2.3 Literature evidence used for reproductive-mode assignment of oribatid mite genera</t>
    <phoneticPr fontId="1" type="noConversion"/>
  </si>
  <si>
    <r>
      <t xml:space="preserve">This table summarizes literature evidence used to assign reproductive mode to oribatid mite genera. When multiple species within a genus showed the same reproductive mode, the genus was assigned accordingly. When direct genus-level evidence was unavailable or incomplete, assignments were made conservatively using species-level records, family-level patterns and published ecological or reproductive information (Maraun et al., 2019). 
(1) Suborder: </t>
    </r>
    <r>
      <rPr>
        <sz val="11"/>
        <color theme="1"/>
        <rFont val="Times New Roman"/>
        <family val="1"/>
      </rPr>
      <t xml:space="preserve">Higher taxonomic placement of the oribatid mite taxon.
</t>
    </r>
    <r>
      <rPr>
        <b/>
        <sz val="11"/>
        <color theme="1"/>
        <rFont val="Times New Roman"/>
        <family val="1"/>
      </rPr>
      <t xml:space="preserve">(2) Superfamily: </t>
    </r>
    <r>
      <rPr>
        <sz val="11"/>
        <color theme="1"/>
        <rFont val="Times New Roman"/>
        <family val="1"/>
      </rPr>
      <t xml:space="preserve">Superfamily-level taxonomic placement.
</t>
    </r>
    <r>
      <rPr>
        <b/>
        <sz val="11"/>
        <color theme="1"/>
        <rFont val="Times New Roman"/>
        <family val="1"/>
      </rPr>
      <t xml:space="preserve">(3) Family: </t>
    </r>
    <r>
      <rPr>
        <sz val="11"/>
        <color theme="1"/>
        <rFont val="Times New Roman"/>
        <family val="1"/>
      </rPr>
      <t xml:space="preserve">Family-level taxonomic placement.
</t>
    </r>
    <r>
      <rPr>
        <b/>
        <sz val="11"/>
        <color theme="1"/>
        <rFont val="Times New Roman"/>
        <family val="1"/>
      </rPr>
      <t xml:space="preserve">(4) Species/taxa: </t>
    </r>
    <r>
      <rPr>
        <sz val="11"/>
        <color theme="1"/>
        <rFont val="Times New Roman"/>
        <family val="1"/>
      </rPr>
      <t xml:space="preserve">Species name or taxon name for which reproductive-mode information was available. Red genus-level entries indicate the genus-level assignment used in this study.
</t>
    </r>
    <r>
      <rPr>
        <b/>
        <sz val="11"/>
        <color theme="1"/>
        <rFont val="Times New Roman"/>
        <family val="1"/>
      </rPr>
      <t xml:space="preserve">(5) Reproductive mode: </t>
    </r>
    <r>
      <rPr>
        <sz val="11"/>
        <color theme="1"/>
        <rFont val="Times New Roman"/>
        <family val="1"/>
      </rPr>
      <t>Reported or inferred reproductive mode. “parthen” denotes parthenogenetic reproduction; “sexual” denotes sexual reproduction.</t>
    </r>
    <r>
      <rPr>
        <b/>
        <sz val="11"/>
        <color theme="1"/>
        <rFont val="Times New Roman"/>
        <family val="1"/>
      </rPr>
      <t xml:space="preserve">
</t>
    </r>
    <r>
      <rPr>
        <sz val="11"/>
        <color theme="1"/>
        <rFont val="Times New Roman"/>
        <family val="1"/>
      </rPr>
      <t>Maraun, M., Caruso, T., Hense, J., Lehmitz, R., Mumladze, L., Murvanidze, M., Nae, I., Schulz, J., Seniczak, A., &amp; Scheu, S. (2019). Parthenogenetic vs. sexual reproduction in oribatid mite communities. Ecology and Evolution, 9, 7324–7332.</t>
    </r>
    <phoneticPr fontId="1" type="noConversion"/>
  </si>
  <si>
    <t>Appendix Table S2.4 Individual body-size measurements of oribatid mite genera used for functional trait assignmen</t>
    <phoneticPr fontId="1" type="noConversion"/>
  </si>
  <si>
    <t>This table provides individual-level body-size measurements used to calculate genus-level mean body length and body width for the functional trait matrix. 
Measurements were taken from adult individuals using a KEYENCE VHX-5000 digital microscope. 
Body length was measured from the anterior tip of the rostrum to the posterior margin of the notogaster, and body width was measured at the widest part of the notogaster. Values are expressed in μm. 
For each genus, 5–40 adult individuals were measured when sufficient specimens were available. 
Genus-level mean values were subsequently used as continuous traits for Gower functional-distance calculation and FD analysis.</t>
    <phoneticPr fontId="1" type="noConversion"/>
  </si>
  <si>
    <t>This table provides the measured ecological predictor variables for the 25 site-level moss-mat samples across five tufa landscape types. Spatial variables include longitude, latitude and elevation. Stream–substrate variables include air temperature, relative humidity, water pH, electrical conductivity, substrate organic carbon, substrate total nitrogen and substrate total phosphorus. Moss functional status variables include moss tissue total carbon, moss tissue total nitrogen, moss tissue total phosphorus, chlorophyll-a, chlorophyll-b, malondialdehyde, total soluble sugars, peroxidase, superoxide dismutase, catalase, biomass and moss water content. These variables were used to construct ecological predictor sets for driver analyses. Stream–substrate conditions and moss functional status were summarized by principal component analysis after z-score standardization, whereas spatial structure was summarized using longitude, latitude and elevation. Landscape abbreviations are as follows: Spr.-TL, springhead tufa landscapes; Cas.-TL, cascade tufa landscapes; Cus.-TL, cushion or shallow-flow tufa landscapes; Rap.-TL, rapid-stream tufa landscapes; Rim.-TL, rimstone-dam tufa landscapes.</t>
    <phoneticPr fontId="1" type="noConversion"/>
  </si>
  <si>
    <t>WC</t>
    <phoneticPr fontId="2" type="noConversion"/>
  </si>
  <si>
    <t>biomass</t>
    <phoneticPr fontId="2" type="noConversion"/>
  </si>
  <si>
    <t>This table provides the moss cover matrix and species list for 25 site-level samples across five tufa landscape types. Rows represent site-level moss-mat samples, and columns represent moss species or species-level taxonomic units. Values in the species columns indicate the cover of each moss species in each site-level sample. Blank cells indicate that the species was not recorded in that sample. Species names in column headings are abbreviated for compact display, and the full species names are provided in the corresponding species list. These data were used to characterize moss community composition and to calculate Bray–Curtis dissimilarity among samples. The resulting dissimilarity matrix was summarized by principal coordinate analysis and used as the moss community composition predictor set in ecological driver analyses. Landscape abbreviations are as follows: Spr.-TL, springhead tufa landscapes; Cas.-TL, cascade tufa landscapes; Cus.-TL, cushion or shallow-flow tufa landscapes; Rap.-TL, rapid-stream tufa landscapes; Rim.-TL, rimstone-dam tufa landscapes.</t>
    <phoneticPr fontId="1" type="noConversion"/>
  </si>
  <si>
    <t>Appendix Table S3. Measured ecological predictor variables for stream–substrate conditions, moss functional status and spatial structure</t>
    <phoneticPr fontId="1" type="noConversion"/>
  </si>
  <si>
    <t>Appendix Table S4. Moss cover matrix and species list across five tufa landscape types</t>
    <phoneticPr fontId="1" type="noConversion"/>
  </si>
  <si>
    <t>Appendix Table S5. Pairwise taxonomic, functional and phylogenetic beta-diversity decomposition based on presence-absence data</t>
    <phoneticPr fontId="1" type="noConversion"/>
  </si>
  <si>
    <t>Appendix Table S6. Pairwise tests of landscape effects on multidimensional beta diversity.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</si>
</sst>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 "/>
    <numFmt numFmtId="177" formatCode="0_ "/>
    <numFmt numFmtId="178" formatCode="0.0000_ "/>
    <numFmt numFmtId="179" formatCode="0.0000_);[Red]\(0.0000\)"/>
  </numFmts>
  <fonts count="49" x14ac:knownFonts="1">
    <font>
      <sz val="11"/>
      <color theme="1"/>
      <name val="等线"/>
      <family val="2"/>
      <scheme val="minor"/>
    </font>
    <font>
      <sz val="9"/>
      <name val="等线"/>
      <family val="3"/>
      <charset val="134"/>
      <scheme val="minor"/>
    </font>
    <font>
      <sz val="9"/>
      <name val="等线"/>
      <family val="2"/>
      <charset val="134"/>
      <scheme val="minor"/>
    </font>
    <font>
      <sz val="9"/>
      <name val="宋体"/>
      <family val="3"/>
      <charset val="134"/>
    </font>
    <font>
      <sz val="11"/>
      <color theme="1"/>
      <name val="楷体"/>
      <family val="3"/>
      <charset val="134"/>
    </font>
    <font>
      <sz val="11"/>
      <color theme="1"/>
      <name val="Times New Roman"/>
      <family val="1"/>
    </font>
    <font>
      <b/>
      <sz val="11"/>
      <color theme="1"/>
      <name val="Times New Roman"/>
      <family val="1"/>
    </font>
    <font>
      <b/>
      <sz val="11"/>
      <color theme="1"/>
      <name val="楷体"/>
      <family val="3"/>
      <charset val="134"/>
    </font>
    <font>
      <sz val="11"/>
      <color rgb="FFFF0000"/>
      <name val="Times New Roman"/>
      <family val="1"/>
    </font>
    <font>
      <i/>
      <sz val="11"/>
      <color rgb="FFFF0000"/>
      <name val="Times New Roman"/>
      <family val="1"/>
    </font>
    <font>
      <i/>
      <sz val="11"/>
      <color theme="1"/>
      <name val="Times New Roman"/>
      <family val="1"/>
    </font>
    <font>
      <sz val="11"/>
      <color theme="1"/>
      <name val="Times New Roman"/>
      <family val="3"/>
      <charset val="134"/>
    </font>
    <font>
      <sz val="11"/>
      <color theme="1"/>
      <name val="等线"/>
      <family val="3"/>
      <charset val="134"/>
      <scheme val="minor"/>
    </font>
    <font>
      <b/>
      <vertAlign val="superscript"/>
      <sz val="11"/>
      <color theme="1"/>
      <name val="Times New Roman"/>
      <family val="1"/>
    </font>
    <font>
      <vertAlign val="subscript"/>
      <sz val="11"/>
      <color theme="1"/>
      <name val="Times New Roman"/>
      <family val="1"/>
    </font>
    <font>
      <sz val="12"/>
      <color theme="1"/>
      <name val="Times New Roman"/>
      <family val="1"/>
    </font>
    <font>
      <sz val="12"/>
      <color theme="1"/>
      <name val="等线"/>
      <family val="2"/>
      <scheme val="minor"/>
    </font>
    <font>
      <sz val="11"/>
      <color theme="1"/>
      <name val="等线"/>
      <family val="2"/>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1"/>
      <color theme="1"/>
      <name val="等线"/>
      <family val="2"/>
      <charset val="134"/>
      <scheme val="minor"/>
    </font>
    <font>
      <i/>
      <sz val="11"/>
      <color theme="1"/>
      <name val="楷体"/>
      <family val="3"/>
      <charset val="134"/>
    </font>
    <font>
      <sz val="12"/>
      <color rgb="FF000000"/>
      <name val="Times New Roman"/>
      <family val="1"/>
    </font>
    <font>
      <b/>
      <sz val="11"/>
      <color theme="1"/>
      <name val="Times New Roman"/>
      <family val="3"/>
    </font>
    <font>
      <sz val="11"/>
      <name val="Times New Roman"/>
      <family val="1"/>
    </font>
    <font>
      <sz val="11"/>
      <color theme="1"/>
      <name val="宋体"/>
      <family val="1"/>
      <charset val="134"/>
    </font>
    <font>
      <b/>
      <sz val="11"/>
      <color theme="1"/>
      <name val="等线"/>
      <family val="2"/>
      <scheme val="minor"/>
    </font>
    <font>
      <b/>
      <sz val="11"/>
      <color rgb="FFFF0000"/>
      <name val="Times New Roman"/>
      <family val="1"/>
    </font>
    <font>
      <b/>
      <sz val="12"/>
      <color theme="8"/>
      <name val="Times New Roman"/>
      <family val="1"/>
    </font>
    <font>
      <vertAlign val="superscript"/>
      <sz val="11"/>
      <color theme="1"/>
      <name val="Times New Roman"/>
      <family val="1"/>
    </font>
    <font>
      <b/>
      <sz val="10.5"/>
      <color rgb="FFFF0000"/>
      <name val="Times New Roman"/>
      <family val="1"/>
    </font>
    <font>
      <b/>
      <sz val="11"/>
      <color theme="8"/>
      <name val="Times New Roman"/>
      <family val="1"/>
    </font>
    <font>
      <b/>
      <vertAlign val="subscript"/>
      <sz val="11"/>
      <color theme="1"/>
      <name val="Times New Roman"/>
      <family val="1"/>
    </font>
    <font>
      <b/>
      <sz val="11"/>
      <color rgb="FF0070C0"/>
      <name val="Times New Roman"/>
      <family val="1"/>
    </font>
    <font>
      <sz val="11"/>
      <color rgb="FF0070C0"/>
      <name val="Times New Roman"/>
      <family val="1"/>
    </font>
  </fonts>
  <fills count="45">
    <fill>
      <patternFill patternType="none"/>
    </fill>
    <fill>
      <patternFill patternType="gray125"/>
    </fill>
    <fill>
      <patternFill patternType="solid">
        <fgColor theme="8" tint="0.7999816888943144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00B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42">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diagonal/>
    </border>
    <border>
      <left style="thin">
        <color auto="1"/>
      </left>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45">
    <xf numFmtId="0" fontId="0" fillId="0" borderId="0"/>
    <xf numFmtId="0" fontId="12" fillId="0" borderId="0">
      <alignment vertical="center"/>
    </xf>
    <xf numFmtId="0" fontId="18" fillId="0" borderId="0" applyNumberFormat="0" applyFill="0" applyBorder="0" applyAlignment="0" applyProtection="0">
      <alignment vertical="center"/>
    </xf>
    <xf numFmtId="0" fontId="19" fillId="0" borderId="27" applyNumberFormat="0" applyFill="0" applyAlignment="0" applyProtection="0">
      <alignment vertical="center"/>
    </xf>
    <xf numFmtId="0" fontId="20" fillId="0" borderId="28" applyNumberFormat="0" applyFill="0" applyAlignment="0" applyProtection="0">
      <alignment vertical="center"/>
    </xf>
    <xf numFmtId="0" fontId="21" fillId="0" borderId="29" applyNumberFormat="0" applyFill="0" applyAlignment="0" applyProtection="0">
      <alignment vertical="center"/>
    </xf>
    <xf numFmtId="0" fontId="21" fillId="0" borderId="0" applyNumberFormat="0" applyFill="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30" applyNumberFormat="0" applyAlignment="0" applyProtection="0">
      <alignment vertical="center"/>
    </xf>
    <xf numFmtId="0" fontId="26" fillId="14" borderId="31" applyNumberFormat="0" applyAlignment="0" applyProtection="0">
      <alignment vertical="center"/>
    </xf>
    <xf numFmtId="0" fontId="27" fillId="14" borderId="30" applyNumberFormat="0" applyAlignment="0" applyProtection="0">
      <alignment vertical="center"/>
    </xf>
    <xf numFmtId="0" fontId="28" fillId="0" borderId="32" applyNumberFormat="0" applyFill="0" applyAlignment="0" applyProtection="0">
      <alignment vertical="center"/>
    </xf>
    <xf numFmtId="0" fontId="29" fillId="15" borderId="33" applyNumberForma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5" applyNumberFormat="0" applyFill="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4" fillId="0" borderId="0">
      <alignment vertical="center"/>
    </xf>
    <xf numFmtId="0" fontId="34" fillId="16" borderId="34" applyNumberFormat="0" applyFont="0" applyAlignment="0" applyProtection="0">
      <alignment vertical="center"/>
    </xf>
    <xf numFmtId="0" fontId="17" fillId="0" borderId="0"/>
  </cellStyleXfs>
  <cellXfs count="207">
    <xf numFmtId="0" fontId="0" fillId="0" borderId="0" xfId="0"/>
    <xf numFmtId="0" fontId="5"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5" fillId="0" borderId="1" xfId="0" applyFont="1" applyBorder="1" applyAlignment="1">
      <alignment horizontal="left" vertical="center"/>
    </xf>
    <xf numFmtId="0" fontId="5" fillId="0" borderId="3" xfId="0" applyFont="1" applyBorder="1" applyAlignment="1">
      <alignment horizontal="left" vertical="center" wrapText="1"/>
    </xf>
    <xf numFmtId="0" fontId="5" fillId="2" borderId="3" xfId="0" applyFont="1" applyFill="1" applyBorder="1" applyAlignment="1">
      <alignment horizontal="left" vertical="center" wrapText="1"/>
    </xf>
    <xf numFmtId="176" fontId="5" fillId="2" borderId="3" xfId="0" applyNumberFormat="1" applyFont="1" applyFill="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1" xfId="0" applyFont="1" applyBorder="1" applyAlignment="1">
      <alignment horizontal="left" vertical="center" wrapText="1"/>
    </xf>
    <xf numFmtId="0" fontId="5" fillId="2" borderId="1" xfId="0" applyFont="1" applyFill="1" applyBorder="1" applyAlignment="1">
      <alignment horizontal="left" vertical="center" wrapText="1"/>
    </xf>
    <xf numFmtId="176" fontId="5" fillId="2" borderId="1" xfId="0" applyNumberFormat="1" applyFont="1" applyFill="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5" fillId="2" borderId="8" xfId="0" applyFont="1" applyFill="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2" borderId="15" xfId="0" applyFont="1" applyFill="1" applyBorder="1" applyAlignment="1">
      <alignment horizontal="left" vertical="center" wrapText="1"/>
    </xf>
    <xf numFmtId="0" fontId="5" fillId="0" borderId="0" xfId="0" applyFont="1" applyAlignment="1">
      <alignment horizontal="center" vertical="center"/>
    </xf>
    <xf numFmtId="0" fontId="5" fillId="0" borderId="16" xfId="1" applyFont="1" applyBorder="1" applyAlignment="1">
      <alignment horizontal="left" vertical="center"/>
    </xf>
    <xf numFmtId="0" fontId="5" fillId="0" borderId="19" xfId="0" applyFont="1" applyBorder="1" applyAlignment="1">
      <alignment horizontal="left" vertical="center"/>
    </xf>
    <xf numFmtId="0" fontId="5" fillId="0" borderId="21" xfId="0" applyFont="1" applyBorder="1" applyAlignment="1">
      <alignment horizontal="left" vertical="center"/>
    </xf>
    <xf numFmtId="0" fontId="5" fillId="0" borderId="16" xfId="0" applyFont="1" applyBorder="1" applyAlignment="1">
      <alignment horizontal="left" vertical="center"/>
    </xf>
    <xf numFmtId="2" fontId="6" fillId="0" borderId="0" xfId="0" applyNumberFormat="1" applyFont="1" applyAlignment="1">
      <alignment horizontal="left" vertical="center"/>
    </xf>
    <xf numFmtId="0" fontId="5" fillId="0" borderId="17" xfId="0" applyFont="1" applyBorder="1" applyAlignment="1">
      <alignment horizontal="left" vertical="center"/>
    </xf>
    <xf numFmtId="0" fontId="10" fillId="0" borderId="17" xfId="0" applyFont="1" applyBorder="1" applyAlignment="1">
      <alignment horizontal="left" vertical="center"/>
    </xf>
    <xf numFmtId="2" fontId="5" fillId="0" borderId="17" xfId="0" applyNumberFormat="1" applyFont="1" applyBorder="1" applyAlignment="1">
      <alignment horizontal="left" vertical="center"/>
    </xf>
    <xf numFmtId="0" fontId="5" fillId="3" borderId="18" xfId="0" applyFont="1" applyFill="1" applyBorder="1" applyAlignment="1">
      <alignment horizontal="left" vertical="center"/>
    </xf>
    <xf numFmtId="2" fontId="5" fillId="0" borderId="0" xfId="0" applyNumberFormat="1" applyFont="1" applyAlignment="1">
      <alignment horizontal="left" vertical="center"/>
    </xf>
    <xf numFmtId="0" fontId="5" fillId="0" borderId="20" xfId="0" applyFont="1" applyBorder="1" applyAlignment="1">
      <alignment horizontal="left" vertical="center"/>
    </xf>
    <xf numFmtId="0" fontId="5" fillId="4" borderId="20" xfId="0" applyFont="1" applyFill="1" applyBorder="1" applyAlignment="1">
      <alignment horizontal="left" vertical="center"/>
    </xf>
    <xf numFmtId="0" fontId="5" fillId="0" borderId="22" xfId="0" applyFont="1" applyBorder="1" applyAlignment="1">
      <alignment horizontal="left" vertical="center"/>
    </xf>
    <xf numFmtId="0" fontId="10" fillId="0" borderId="22" xfId="0" applyFont="1" applyBorder="1" applyAlignment="1">
      <alignment horizontal="left" vertical="center"/>
    </xf>
    <xf numFmtId="2" fontId="5" fillId="0" borderId="22" xfId="0" applyNumberFormat="1" applyFont="1" applyBorder="1" applyAlignment="1">
      <alignment horizontal="left" vertical="center"/>
    </xf>
    <xf numFmtId="0" fontId="5" fillId="5" borderId="23" xfId="0" applyFont="1" applyFill="1" applyBorder="1" applyAlignment="1">
      <alignment horizontal="left" vertical="center"/>
    </xf>
    <xf numFmtId="0" fontId="5" fillId="5" borderId="0" xfId="0" applyFont="1" applyFill="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10" fillId="0" borderId="25" xfId="0" applyFont="1" applyBorder="1" applyAlignment="1">
      <alignment horizontal="left" vertical="center"/>
    </xf>
    <xf numFmtId="2" fontId="5" fillId="0" borderId="25" xfId="0" applyNumberFormat="1" applyFont="1" applyBorder="1" applyAlignment="1">
      <alignment horizontal="left" vertical="center"/>
    </xf>
    <xf numFmtId="0" fontId="5" fillId="4" borderId="26" xfId="0" applyFont="1" applyFill="1" applyBorder="1" applyAlignment="1">
      <alignment horizontal="left" vertical="center"/>
    </xf>
    <xf numFmtId="0" fontId="5" fillId="4" borderId="0" xfId="0" applyFont="1" applyFill="1" applyAlignment="1">
      <alignment horizontal="left" vertical="center"/>
    </xf>
    <xf numFmtId="0" fontId="5" fillId="4" borderId="18" xfId="0" applyFont="1" applyFill="1" applyBorder="1" applyAlignment="1">
      <alignment horizontal="left" vertical="center"/>
    </xf>
    <xf numFmtId="0" fontId="5" fillId="0" borderId="23" xfId="0" applyFont="1" applyBorder="1" applyAlignment="1">
      <alignment horizontal="left" vertical="center"/>
    </xf>
    <xf numFmtId="0" fontId="5" fillId="3" borderId="0" xfId="0" applyFont="1" applyFill="1" applyAlignment="1">
      <alignment horizontal="left" vertical="center"/>
    </xf>
    <xf numFmtId="0" fontId="5" fillId="5" borderId="20" xfId="0" applyFont="1" applyFill="1" applyBorder="1" applyAlignment="1">
      <alignment horizontal="left" vertical="center"/>
    </xf>
    <xf numFmtId="0" fontId="5" fillId="3" borderId="23" xfId="0" applyFont="1" applyFill="1" applyBorder="1" applyAlignment="1">
      <alignment horizontal="left" vertical="center"/>
    </xf>
    <xf numFmtId="0" fontId="5" fillId="6" borderId="20" xfId="0" applyFont="1" applyFill="1" applyBorder="1" applyAlignment="1">
      <alignment horizontal="left" vertical="center"/>
    </xf>
    <xf numFmtId="0" fontId="5" fillId="3" borderId="20" xfId="0" applyFont="1" applyFill="1" applyBorder="1" applyAlignment="1">
      <alignment horizontal="left" vertical="center"/>
    </xf>
    <xf numFmtId="0" fontId="5" fillId="7" borderId="20" xfId="0" applyFont="1" applyFill="1" applyBorder="1" applyAlignment="1">
      <alignment horizontal="left" vertical="center"/>
    </xf>
    <xf numFmtId="0" fontId="5" fillId="3" borderId="26" xfId="0" applyFont="1" applyFill="1" applyBorder="1" applyAlignment="1">
      <alignment horizontal="left" vertical="center"/>
    </xf>
    <xf numFmtId="0" fontId="5" fillId="5" borderId="26" xfId="0" applyFont="1" applyFill="1" applyBorder="1" applyAlignment="1">
      <alignment horizontal="left" vertical="center"/>
    </xf>
    <xf numFmtId="0" fontId="5" fillId="5" borderId="18" xfId="0" applyFont="1" applyFill="1" applyBorder="1" applyAlignment="1">
      <alignment horizontal="left" vertical="center"/>
    </xf>
    <xf numFmtId="0" fontId="5" fillId="7" borderId="18" xfId="0" applyFont="1" applyFill="1" applyBorder="1" applyAlignment="1">
      <alignment horizontal="left" vertical="center"/>
    </xf>
    <xf numFmtId="0" fontId="5" fillId="7" borderId="0" xfId="0" applyFont="1" applyFill="1" applyAlignment="1">
      <alignment horizontal="left" vertical="center"/>
    </xf>
    <xf numFmtId="0" fontId="10" fillId="0" borderId="25" xfId="0" quotePrefix="1" applyFont="1" applyBorder="1" applyAlignment="1">
      <alignment horizontal="left" vertical="center"/>
    </xf>
    <xf numFmtId="0" fontId="5" fillId="8" borderId="20" xfId="0" applyFont="1" applyFill="1" applyBorder="1" applyAlignment="1">
      <alignment horizontal="left" vertical="center"/>
    </xf>
    <xf numFmtId="0" fontId="5" fillId="4" borderId="23" xfId="0" applyFont="1" applyFill="1" applyBorder="1" applyAlignment="1">
      <alignment horizontal="left" vertical="center"/>
    </xf>
    <xf numFmtId="0" fontId="5" fillId="8" borderId="18" xfId="0" applyFont="1" applyFill="1" applyBorder="1" applyAlignment="1">
      <alignment horizontal="left" vertical="center"/>
    </xf>
    <xf numFmtId="0" fontId="5" fillId="8" borderId="0" xfId="0" applyFont="1" applyFill="1" applyAlignment="1">
      <alignment horizontal="left" vertical="center"/>
    </xf>
    <xf numFmtId="0" fontId="5" fillId="9" borderId="20" xfId="0" applyFont="1" applyFill="1" applyBorder="1" applyAlignment="1">
      <alignment horizontal="left" vertical="center"/>
    </xf>
    <xf numFmtId="0" fontId="5" fillId="7" borderId="23" xfId="0" applyFont="1" applyFill="1" applyBorder="1" applyAlignment="1">
      <alignment horizontal="left" vertical="center"/>
    </xf>
    <xf numFmtId="0" fontId="5" fillId="6" borderId="26" xfId="0" applyFont="1" applyFill="1" applyBorder="1" applyAlignment="1">
      <alignment horizontal="left" vertical="center"/>
    </xf>
    <xf numFmtId="0" fontId="10" fillId="0" borderId="0" xfId="0" quotePrefix="1" applyFont="1" applyAlignment="1">
      <alignment horizontal="left" vertical="center"/>
    </xf>
    <xf numFmtId="0" fontId="10" fillId="0" borderId="22" xfId="0" quotePrefix="1" applyFont="1" applyBorder="1" applyAlignment="1">
      <alignment horizontal="left" vertical="center"/>
    </xf>
    <xf numFmtId="0" fontId="15" fillId="0" borderId="25" xfId="0" applyFont="1" applyBorder="1" applyAlignment="1">
      <alignment horizontal="left" vertical="center"/>
    </xf>
    <xf numFmtId="0" fontId="5" fillId="0" borderId="26" xfId="0" applyFont="1" applyBorder="1" applyAlignment="1">
      <alignment horizontal="left" vertical="center"/>
    </xf>
    <xf numFmtId="0" fontId="15" fillId="0" borderId="0" xfId="0" applyFont="1" applyAlignment="1">
      <alignment horizontal="left" vertical="center"/>
    </xf>
    <xf numFmtId="0" fontId="5" fillId="0" borderId="18" xfId="0" applyFont="1" applyBorder="1" applyAlignment="1">
      <alignment horizontal="left" vertical="center"/>
    </xf>
    <xf numFmtId="0" fontId="16" fillId="0" borderId="22" xfId="0" applyFont="1" applyBorder="1"/>
    <xf numFmtId="0" fontId="5" fillId="0" borderId="0" xfId="0" applyFont="1" applyAlignment="1">
      <alignment vertical="center"/>
    </xf>
    <xf numFmtId="0" fontId="5" fillId="2" borderId="17" xfId="0" applyFont="1" applyFill="1" applyBorder="1" applyAlignment="1">
      <alignment horizontal="left" vertical="center"/>
    </xf>
    <xf numFmtId="0" fontId="5" fillId="2" borderId="0" xfId="0" applyFont="1" applyFill="1" applyAlignment="1">
      <alignment horizontal="left" vertical="center"/>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6" fillId="2" borderId="17" xfId="0" applyFont="1" applyFill="1" applyBorder="1" applyAlignment="1">
      <alignment horizontal="left" vertical="center"/>
    </xf>
    <xf numFmtId="0" fontId="6" fillId="0" borderId="18" xfId="0" applyFont="1" applyBorder="1" applyAlignment="1">
      <alignment horizontal="left" vertical="center"/>
    </xf>
    <xf numFmtId="0" fontId="5" fillId="2" borderId="22" xfId="0" applyFont="1" applyFill="1" applyBorder="1" applyAlignment="1">
      <alignment horizontal="left"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0" fillId="0" borderId="23" xfId="0" applyFont="1" applyBorder="1" applyAlignment="1">
      <alignment horizontal="left" vertical="center"/>
    </xf>
    <xf numFmtId="0" fontId="5" fillId="2" borderId="16" xfId="0" applyFont="1" applyFill="1" applyBorder="1" applyAlignment="1">
      <alignment horizontal="left" vertical="center"/>
    </xf>
    <xf numFmtId="0" fontId="5" fillId="2" borderId="18" xfId="0" applyFont="1" applyFill="1" applyBorder="1" applyAlignment="1">
      <alignment horizontal="left" vertical="center"/>
    </xf>
    <xf numFmtId="0" fontId="5" fillId="2" borderId="19" xfId="0" applyFont="1" applyFill="1" applyBorder="1" applyAlignment="1">
      <alignment horizontal="left" vertical="center"/>
    </xf>
    <xf numFmtId="0" fontId="5" fillId="2" borderId="20" xfId="0" applyFont="1" applyFill="1" applyBorder="1" applyAlignment="1">
      <alignment horizontal="left" vertical="center"/>
    </xf>
    <xf numFmtId="0" fontId="5" fillId="2" borderId="21" xfId="0" applyFont="1" applyFill="1" applyBorder="1" applyAlignment="1">
      <alignment horizontal="left" vertical="center"/>
    </xf>
    <xf numFmtId="0" fontId="5" fillId="2" borderId="23" xfId="0" applyFont="1" applyFill="1" applyBorder="1" applyAlignment="1">
      <alignment horizontal="left" vertical="center"/>
    </xf>
    <xf numFmtId="0" fontId="10" fillId="0" borderId="19" xfId="0" applyFont="1" applyBorder="1" applyAlignment="1">
      <alignment horizontal="left" vertical="center"/>
    </xf>
    <xf numFmtId="0" fontId="5" fillId="0" borderId="20" xfId="0" applyFont="1" applyBorder="1" applyAlignment="1">
      <alignment horizontal="left" vertical="center" wrapText="1"/>
    </xf>
    <xf numFmtId="0" fontId="10" fillId="0" borderId="21" xfId="0" applyFont="1" applyBorder="1" applyAlignment="1">
      <alignment horizontal="left" vertical="center"/>
    </xf>
    <xf numFmtId="0" fontId="5" fillId="0" borderId="23" xfId="0" applyFont="1" applyBorder="1" applyAlignment="1">
      <alignment horizontal="left" vertical="center" wrapText="1"/>
    </xf>
    <xf numFmtId="176" fontId="5" fillId="0" borderId="0" xfId="0" applyNumberFormat="1" applyFont="1" applyAlignment="1">
      <alignment horizontal="left" vertical="center"/>
    </xf>
    <xf numFmtId="176" fontId="5" fillId="0" borderId="0" xfId="0" applyNumberFormat="1" applyFont="1" applyAlignment="1">
      <alignment horizontal="left" vertical="center" wrapText="1"/>
    </xf>
    <xf numFmtId="176" fontId="5" fillId="0" borderId="22" xfId="0" applyNumberFormat="1" applyFont="1" applyBorder="1" applyAlignment="1">
      <alignment horizontal="left" vertical="center"/>
    </xf>
    <xf numFmtId="0" fontId="6" fillId="0" borderId="24" xfId="0" applyFont="1" applyBorder="1" applyAlignment="1">
      <alignment horizontal="left" vertical="center" wrapText="1"/>
    </xf>
    <xf numFmtId="0" fontId="6" fillId="0" borderId="25" xfId="0" applyFont="1" applyBorder="1" applyAlignment="1">
      <alignment horizontal="left" vertical="center"/>
    </xf>
    <xf numFmtId="0" fontId="6" fillId="0" borderId="24" xfId="0" applyFont="1" applyBorder="1" applyAlignment="1">
      <alignment horizontal="left" vertical="center"/>
    </xf>
    <xf numFmtId="0" fontId="6" fillId="0" borderId="26" xfId="0" applyFont="1" applyBorder="1" applyAlignment="1">
      <alignment horizontal="left" vertical="center"/>
    </xf>
    <xf numFmtId="0" fontId="6" fillId="0" borderId="25" xfId="0" applyFont="1" applyBorder="1" applyAlignment="1">
      <alignment horizontal="left" vertical="center" wrapText="1"/>
    </xf>
    <xf numFmtId="0" fontId="6" fillId="0" borderId="26" xfId="0" applyFont="1" applyBorder="1" applyAlignment="1">
      <alignment horizontal="left" vertical="center" wrapText="1"/>
    </xf>
    <xf numFmtId="0" fontId="5" fillId="0" borderId="37" xfId="0" applyFont="1" applyBorder="1" applyAlignment="1">
      <alignment horizontal="left" vertical="center" wrapText="1"/>
    </xf>
    <xf numFmtId="0" fontId="5" fillId="2" borderId="37" xfId="0" applyFont="1" applyFill="1" applyBorder="1" applyAlignment="1">
      <alignment horizontal="left" vertical="center" wrapText="1"/>
    </xf>
    <xf numFmtId="176" fontId="5" fillId="2" borderId="37" xfId="0" applyNumberFormat="1" applyFont="1" applyFill="1" applyBorder="1" applyAlignment="1">
      <alignment horizontal="left" vertical="center" wrapText="1"/>
    </xf>
    <xf numFmtId="0" fontId="5" fillId="0" borderId="38" xfId="0" applyFont="1" applyBorder="1" applyAlignment="1">
      <alignment horizontal="left" vertical="center" wrapText="1"/>
    </xf>
    <xf numFmtId="0" fontId="6" fillId="0" borderId="39" xfId="0" applyFont="1" applyBorder="1" applyAlignment="1">
      <alignment horizontal="lef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2" fontId="13" fillId="0" borderId="25" xfId="0" applyNumberFormat="1" applyFont="1" applyBorder="1" applyAlignment="1">
      <alignment horizontal="left" vertical="center"/>
    </xf>
    <xf numFmtId="2" fontId="6" fillId="0" borderId="25" xfId="0" applyNumberFormat="1" applyFont="1" applyBorder="1" applyAlignment="1">
      <alignment horizontal="left" vertical="center"/>
    </xf>
    <xf numFmtId="0" fontId="36" fillId="0" borderId="0" xfId="0" applyFont="1" applyAlignment="1">
      <alignment vertical="center"/>
    </xf>
    <xf numFmtId="0" fontId="10" fillId="0" borderId="22" xfId="0" applyFont="1" applyBorder="1" applyAlignment="1">
      <alignment horizontal="left" vertical="center" wrapText="1"/>
    </xf>
    <xf numFmtId="0" fontId="16" fillId="0" borderId="0" xfId="0" applyFont="1"/>
    <xf numFmtId="0" fontId="8" fillId="0" borderId="19" xfId="0" applyFont="1" applyBorder="1" applyAlignment="1">
      <alignment horizontal="left" vertical="center"/>
    </xf>
    <xf numFmtId="0" fontId="8" fillId="0" borderId="21" xfId="0" applyFont="1" applyBorder="1" applyAlignment="1">
      <alignment horizontal="left" vertical="center"/>
    </xf>
    <xf numFmtId="0" fontId="10" fillId="0" borderId="0" xfId="0" applyFont="1" applyAlignment="1">
      <alignment horizontal="left" vertical="center" wrapText="1"/>
    </xf>
    <xf numFmtId="0" fontId="6" fillId="0" borderId="17" xfId="0" applyFont="1" applyBorder="1" applyAlignment="1">
      <alignment horizontal="left" vertical="center" wrapText="1"/>
    </xf>
    <xf numFmtId="0" fontId="6" fillId="2" borderId="16" xfId="0" applyFont="1" applyFill="1" applyBorder="1" applyAlignment="1">
      <alignment horizontal="left" vertical="center"/>
    </xf>
    <xf numFmtId="0" fontId="6" fillId="2" borderId="18" xfId="0" applyFont="1" applyFill="1" applyBorder="1" applyAlignment="1">
      <alignment horizontal="left" vertical="center"/>
    </xf>
    <xf numFmtId="0" fontId="37" fillId="0" borderId="24" xfId="0" applyFont="1" applyBorder="1" applyAlignment="1">
      <alignment horizontal="left" vertical="center"/>
    </xf>
    <xf numFmtId="0" fontId="37" fillId="0" borderId="26" xfId="0" applyFont="1" applyBorder="1" applyAlignment="1">
      <alignment horizontal="left" vertical="center"/>
    </xf>
    <xf numFmtId="0" fontId="35" fillId="0" borderId="20" xfId="0" applyFont="1" applyBorder="1" applyAlignment="1">
      <alignment horizontal="left" vertical="center"/>
    </xf>
    <xf numFmtId="0" fontId="41" fillId="0" borderId="0" xfId="0" applyFont="1" applyAlignment="1">
      <alignment horizontal="left" vertical="center"/>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22" xfId="0" applyFont="1" applyBorder="1" applyAlignment="1">
      <alignment horizontal="left" vertical="center" wrapText="1"/>
    </xf>
    <xf numFmtId="0" fontId="40" fillId="0" borderId="0" xfId="0" applyFont="1"/>
    <xf numFmtId="177" fontId="5" fillId="0" borderId="0" xfId="0" applyNumberFormat="1" applyFont="1"/>
    <xf numFmtId="0" fontId="5" fillId="41" borderId="0" xfId="0" applyFont="1" applyFill="1" applyAlignment="1">
      <alignment horizontal="left" vertical="center"/>
    </xf>
    <xf numFmtId="177" fontId="5" fillId="0" borderId="0" xfId="0" applyNumberFormat="1" applyFont="1" applyAlignment="1">
      <alignment horizontal="left" vertical="center"/>
    </xf>
    <xf numFmtId="177" fontId="6" fillId="0" borderId="16" xfId="0" applyNumberFormat="1" applyFont="1" applyBorder="1"/>
    <xf numFmtId="177" fontId="5" fillId="42" borderId="16" xfId="0" applyNumberFormat="1" applyFont="1" applyFill="1" applyBorder="1" applyAlignment="1">
      <alignment horizontal="left" vertical="center"/>
    </xf>
    <xf numFmtId="177" fontId="5" fillId="42" borderId="19" xfId="0" applyNumberFormat="1" applyFont="1" applyFill="1" applyBorder="1" applyAlignment="1">
      <alignment horizontal="left" vertical="center"/>
    </xf>
    <xf numFmtId="177" fontId="5" fillId="2" borderId="19" xfId="0" applyNumberFormat="1" applyFont="1" applyFill="1" applyBorder="1" applyAlignment="1">
      <alignment horizontal="left" vertical="center"/>
    </xf>
    <xf numFmtId="177" fontId="5" fillId="2" borderId="21" xfId="0" applyNumberFormat="1" applyFont="1" applyFill="1" applyBorder="1" applyAlignment="1">
      <alignment horizontal="left" vertical="center"/>
    </xf>
    <xf numFmtId="178" fontId="5" fillId="0" borderId="17" xfId="0" applyNumberFormat="1" applyFont="1" applyBorder="1" applyAlignment="1">
      <alignment horizontal="left" vertical="center"/>
    </xf>
    <xf numFmtId="178" fontId="5" fillId="0" borderId="18" xfId="0" applyNumberFormat="1" applyFont="1" applyBorder="1" applyAlignment="1">
      <alignment horizontal="left" vertical="center"/>
    </xf>
    <xf numFmtId="178" fontId="5" fillId="0" borderId="0" xfId="0" applyNumberFormat="1" applyFont="1" applyAlignment="1">
      <alignment horizontal="left" vertical="center"/>
    </xf>
    <xf numFmtId="178" fontId="5" fillId="0" borderId="20" xfId="0" applyNumberFormat="1" applyFont="1" applyBorder="1" applyAlignment="1">
      <alignment horizontal="left" vertical="center"/>
    </xf>
    <xf numFmtId="178" fontId="5" fillId="41" borderId="0" xfId="0" applyNumberFormat="1" applyFont="1" applyFill="1" applyAlignment="1">
      <alignment horizontal="left" vertical="center"/>
    </xf>
    <xf numFmtId="178" fontId="5" fillId="41" borderId="20" xfId="0" applyNumberFormat="1" applyFont="1" applyFill="1" applyBorder="1" applyAlignment="1">
      <alignment horizontal="left" vertical="center"/>
    </xf>
    <xf numFmtId="178" fontId="5" fillId="0" borderId="22" xfId="0" applyNumberFormat="1" applyFont="1" applyBorder="1" applyAlignment="1">
      <alignment horizontal="left" vertical="center"/>
    </xf>
    <xf numFmtId="178" fontId="5" fillId="0" borderId="23" xfId="0" applyNumberFormat="1" applyFont="1" applyBorder="1" applyAlignment="1">
      <alignment horizontal="left" vertical="center"/>
    </xf>
    <xf numFmtId="0" fontId="6" fillId="5" borderId="17" xfId="0" applyFont="1" applyFill="1" applyBorder="1" applyAlignment="1">
      <alignment horizontal="left" vertical="center"/>
    </xf>
    <xf numFmtId="0" fontId="6" fillId="43" borderId="17" xfId="0" applyFont="1" applyFill="1" applyBorder="1" applyAlignment="1">
      <alignment horizontal="left" vertical="center"/>
    </xf>
    <xf numFmtId="0" fontId="6" fillId="44" borderId="17" xfId="0" applyFont="1" applyFill="1" applyBorder="1" applyAlignment="1">
      <alignment horizontal="left" vertical="center"/>
    </xf>
    <xf numFmtId="0" fontId="6" fillId="44" borderId="18" xfId="0" applyFont="1" applyFill="1" applyBorder="1" applyAlignment="1">
      <alignment horizontal="left" vertical="center"/>
    </xf>
    <xf numFmtId="177" fontId="5" fillId="0" borderId="0" xfId="0" applyNumberFormat="1" applyFont="1" applyAlignment="1">
      <alignment vertical="center" wrapText="1"/>
    </xf>
    <xf numFmtId="178" fontId="6" fillId="0" borderId="0" xfId="0" applyNumberFormat="1" applyFont="1" applyAlignment="1">
      <alignment horizontal="left" vertical="center"/>
    </xf>
    <xf numFmtId="178" fontId="5" fillId="42" borderId="19" xfId="0" applyNumberFormat="1" applyFont="1" applyFill="1" applyBorder="1" applyAlignment="1">
      <alignment horizontal="left" vertical="center"/>
    </xf>
    <xf numFmtId="178" fontId="5" fillId="2" borderId="19" xfId="0" applyNumberFormat="1" applyFont="1" applyFill="1" applyBorder="1" applyAlignment="1">
      <alignment horizontal="left" vertical="center"/>
    </xf>
    <xf numFmtId="178" fontId="5" fillId="43" borderId="19" xfId="0" applyNumberFormat="1" applyFont="1" applyFill="1" applyBorder="1" applyAlignment="1">
      <alignment horizontal="left" vertical="center"/>
    </xf>
    <xf numFmtId="178" fontId="5" fillId="43" borderId="21" xfId="0" applyNumberFormat="1" applyFont="1" applyFill="1" applyBorder="1" applyAlignment="1">
      <alignment horizontal="left" vertical="center"/>
    </xf>
    <xf numFmtId="179" fontId="6" fillId="0" borderId="24" xfId="0" applyNumberFormat="1" applyFont="1" applyBorder="1" applyAlignment="1">
      <alignment horizontal="left" vertical="center" wrapText="1"/>
    </xf>
    <xf numFmtId="179" fontId="6" fillId="0" borderId="25" xfId="0" applyNumberFormat="1" applyFont="1" applyBorder="1" applyAlignment="1">
      <alignment horizontal="left" vertical="center" wrapText="1"/>
    </xf>
    <xf numFmtId="178" fontId="6" fillId="0" borderId="25" xfId="0" applyNumberFormat="1" applyFont="1" applyBorder="1" applyAlignment="1">
      <alignment horizontal="left" vertical="center"/>
    </xf>
    <xf numFmtId="178" fontId="6" fillId="0" borderId="26" xfId="0" applyNumberFormat="1" applyFont="1" applyBorder="1" applyAlignment="1">
      <alignment horizontal="left" vertical="center"/>
    </xf>
    <xf numFmtId="0" fontId="44" fillId="0" borderId="0" xfId="0" applyFont="1" applyAlignment="1">
      <alignment horizontal="left" vertical="center"/>
    </xf>
    <xf numFmtId="0" fontId="6" fillId="0" borderId="16" xfId="0" applyFont="1" applyBorder="1" applyAlignment="1">
      <alignment horizontal="left" vertical="center" wrapText="1"/>
    </xf>
    <xf numFmtId="0" fontId="10" fillId="0" borderId="16" xfId="0" applyFont="1" applyBorder="1" applyAlignment="1">
      <alignment horizontal="left" vertical="center"/>
    </xf>
    <xf numFmtId="0" fontId="42" fillId="0" borderId="22" xfId="0" applyFont="1" applyBorder="1" applyAlignment="1">
      <alignment horizontal="left" vertical="center"/>
    </xf>
    <xf numFmtId="0" fontId="42" fillId="0" borderId="0" xfId="0" applyFont="1" applyAlignment="1">
      <alignment horizontal="left" vertical="center"/>
    </xf>
    <xf numFmtId="0" fontId="5" fillId="0" borderId="2" xfId="0" applyFont="1" applyBorder="1" applyAlignment="1">
      <alignment horizontal="left" vertical="center" wrapText="1"/>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11" fillId="0" borderId="36" xfId="0" applyFont="1" applyBorder="1" applyAlignment="1">
      <alignment horizontal="left" vertical="center" wrapText="1"/>
    </xf>
    <xf numFmtId="0" fontId="11" fillId="0" borderId="2" xfId="0" applyFont="1" applyBorder="1" applyAlignment="1">
      <alignment horizontal="left" vertical="center" wrapText="1"/>
    </xf>
    <xf numFmtId="0" fontId="5" fillId="0" borderId="1" xfId="0" applyFont="1" applyBorder="1" applyAlignment="1">
      <alignment horizontal="left" vertical="center" wrapText="1"/>
    </xf>
    <xf numFmtId="0" fontId="11" fillId="0" borderId="1" xfId="0" applyFont="1" applyBorder="1" applyAlignment="1">
      <alignment horizontal="left" vertical="center" wrapText="1"/>
    </xf>
    <xf numFmtId="177" fontId="5" fillId="0" borderId="0" xfId="0" applyNumberFormat="1" applyFont="1" applyAlignment="1">
      <alignment horizontal="left" vertical="center" wrapText="1"/>
    </xf>
    <xf numFmtId="178" fontId="6" fillId="0" borderId="25" xfId="0" applyNumberFormat="1" applyFont="1" applyBorder="1" applyAlignment="1">
      <alignment horizontal="left" vertical="center"/>
    </xf>
    <xf numFmtId="178" fontId="45" fillId="0" borderId="22" xfId="0" applyNumberFormat="1" applyFont="1" applyBorder="1" applyAlignment="1">
      <alignment horizontal="left" vertical="center"/>
    </xf>
    <xf numFmtId="178" fontId="5" fillId="0" borderId="0" xfId="0" applyNumberFormat="1" applyFont="1" applyAlignment="1">
      <alignment horizontal="left" vertical="center" wrapText="1"/>
    </xf>
    <xf numFmtId="0" fontId="5" fillId="0" borderId="0" xfId="0" applyFont="1" applyAlignment="1">
      <alignment horizontal="left" vertical="center" wrapText="1"/>
    </xf>
    <xf numFmtId="0" fontId="47" fillId="0" borderId="22" xfId="0" applyFont="1" applyBorder="1" applyAlignment="1">
      <alignment horizontal="left" vertical="center" wrapText="1"/>
    </xf>
    <xf numFmtId="0" fontId="48" fillId="0" borderId="22" xfId="0" applyFont="1" applyBorder="1" applyAlignment="1">
      <alignment horizontal="left"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5" fillId="0" borderId="0" xfId="0" applyFont="1" applyAlignment="1">
      <alignment vertical="center" wrapText="1"/>
    </xf>
    <xf numFmtId="0" fontId="47" fillId="0" borderId="22" xfId="0" applyFont="1" applyBorder="1" applyAlignment="1">
      <alignment horizontal="left" vertical="center"/>
    </xf>
    <xf numFmtId="0" fontId="5" fillId="0" borderId="0" xfId="0" applyFont="1" applyBorder="1" applyAlignment="1">
      <alignment horizontal="left" vertical="center"/>
    </xf>
    <xf numFmtId="0" fontId="48" fillId="0" borderId="22" xfId="0" applyFont="1" applyBorder="1" applyAlignment="1">
      <alignment horizontal="left"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42" borderId="25" xfId="0" applyFont="1" applyFill="1" applyBorder="1" applyAlignment="1">
      <alignment horizontal="center" vertical="center"/>
    </xf>
    <xf numFmtId="0" fontId="6" fillId="2" borderId="25"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5" fillId="41" borderId="19" xfId="0" applyFont="1" applyFill="1" applyBorder="1" applyAlignment="1">
      <alignment horizontal="left" vertical="center"/>
    </xf>
    <xf numFmtId="0" fontId="5" fillId="41" borderId="0" xfId="0" applyFont="1" applyFill="1" applyBorder="1" applyAlignment="1">
      <alignment horizontal="left" vertical="center"/>
    </xf>
    <xf numFmtId="0" fontId="5" fillId="41" borderId="20" xfId="0" applyFont="1" applyFill="1" applyBorder="1" applyAlignment="1">
      <alignment horizontal="left" vertical="center"/>
    </xf>
    <xf numFmtId="0" fontId="6" fillId="42" borderId="25" xfId="0" applyFont="1" applyFill="1" applyBorder="1" applyAlignment="1">
      <alignment horizontal="left" vertical="center"/>
    </xf>
    <xf numFmtId="0" fontId="6" fillId="2" borderId="25" xfId="0" applyFont="1" applyFill="1" applyBorder="1" applyAlignment="1">
      <alignment horizontal="left" vertical="center"/>
    </xf>
    <xf numFmtId="0" fontId="6" fillId="5" borderId="25" xfId="0" applyFont="1" applyFill="1" applyBorder="1" applyAlignment="1">
      <alignment horizontal="left" vertical="center"/>
    </xf>
    <xf numFmtId="0" fontId="6" fillId="5" borderId="26" xfId="0" applyFont="1" applyFill="1" applyBorder="1" applyAlignment="1">
      <alignment horizontal="left" vertical="center"/>
    </xf>
    <xf numFmtId="0" fontId="38" fillId="0" borderId="0" xfId="0" applyFont="1" applyBorder="1" applyAlignment="1">
      <alignment horizontal="left" vertical="center"/>
    </xf>
    <xf numFmtId="0" fontId="38" fillId="0" borderId="22" xfId="0" applyFont="1" applyBorder="1" applyAlignment="1">
      <alignment horizontal="left" vertical="center"/>
    </xf>
    <xf numFmtId="0" fontId="5" fillId="0" borderId="25" xfId="0" applyFont="1" applyBorder="1" applyAlignment="1">
      <alignment vertical="center"/>
    </xf>
    <xf numFmtId="0" fontId="5" fillId="0" borderId="26" xfId="0" applyFont="1" applyBorder="1" applyAlignment="1">
      <alignment vertical="center"/>
    </xf>
    <xf numFmtId="0" fontId="45" fillId="0" borderId="0" xfId="0" applyFont="1" applyAlignment="1">
      <alignment horizontal="left" vertical="center"/>
    </xf>
  </cellXfs>
  <cellStyles count="45">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2" builtinId="15" customBuiltin="1"/>
    <cellStyle name="标题 1" xfId="3" builtinId="16" customBuiltin="1"/>
    <cellStyle name="标题 2" xfId="4" builtinId="17" customBuiltin="1"/>
    <cellStyle name="标题 3" xfId="5" builtinId="18" customBuiltin="1"/>
    <cellStyle name="标题 4" xfId="6" builtinId="19" customBuiltin="1"/>
    <cellStyle name="差" xfId="8" builtinId="27" customBuiltin="1"/>
    <cellStyle name="常规" xfId="0" builtinId="0"/>
    <cellStyle name="常规 2" xfId="1" xr:uid="{65C6933C-EA6F-4F4A-BC8B-2CFEC7A9C9C4}"/>
    <cellStyle name="常规 3" xfId="44" xr:uid="{3AB0EB5D-F293-494B-BFCF-5EFB1663CA23}"/>
    <cellStyle name="常规 4" xfId="42" xr:uid="{89EEF77B-E218-4908-AA2D-5746222FA017}"/>
    <cellStyle name="好" xfId="7" builtinId="26" customBuiltin="1"/>
    <cellStyle name="汇总" xfId="17" builtinId="25" customBuiltin="1"/>
    <cellStyle name="计算" xfId="12" builtinId="22" customBuiltin="1"/>
    <cellStyle name="检查单元格" xfId="14" builtinId="23" customBuiltin="1"/>
    <cellStyle name="解释性文本" xfId="16" builtinId="53" customBuiltin="1"/>
    <cellStyle name="警告文本" xfId="15" builtinId="11" customBuiltin="1"/>
    <cellStyle name="链接单元格" xfId="13" builtinId="24" customBuiltin="1"/>
    <cellStyle name="适中" xfId="9" builtinId="28" customBuiltin="1"/>
    <cellStyle name="输出" xfId="11" builtinId="21" customBuiltin="1"/>
    <cellStyle name="输入" xfId="10"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2" xfId="43" xr:uid="{0F74420D-7C1E-4ED1-AE78-72F32224A5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G68"/>
  <sheetViews>
    <sheetView zoomScale="59" zoomScaleNormal="59" workbookViewId="0">
      <pane xSplit="1" ySplit="3" topLeftCell="B4" activePane="bottomRight" state="frozen"/>
      <selection pane="topRight" activeCell="B1" sqref="B1"/>
      <selection pane="bottomLeft" activeCell="A4" sqref="A4"/>
      <selection pane="bottomRight" activeCell="B58" sqref="B58:P68"/>
    </sheetView>
  </sheetViews>
  <sheetFormatPr defaultColWidth="8.640625" defaultRowHeight="15" customHeight="1" x14ac:dyDescent="0.35"/>
  <cols>
    <col min="1" max="1" width="6.0703125" style="1" customWidth="1"/>
    <col min="2" max="2" width="16.85546875" style="1" customWidth="1"/>
    <col min="3" max="3" width="18.78515625" style="1" customWidth="1"/>
    <col min="4" max="4" width="18.85546875" style="1" customWidth="1"/>
    <col min="5" max="5" width="18.28515625" style="1" customWidth="1"/>
    <col min="6" max="6" width="14.35546875" style="1" customWidth="1"/>
    <col min="7" max="31" width="7.640625" style="1" customWidth="1"/>
    <col min="32" max="33" width="10.42578125" style="1" customWidth="1"/>
    <col min="34" max="16384" width="8.640625" style="1"/>
  </cols>
  <sheetData>
    <row r="2" spans="2:33" ht="25" customHeight="1" thickBot="1" x14ac:dyDescent="0.4">
      <c r="B2" s="167" t="s">
        <v>1986</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row>
    <row r="3" spans="2:33" s="2" customFormat="1" ht="15" customHeight="1" thickBot="1" x14ac:dyDescent="0.4">
      <c r="B3" s="81" t="s">
        <v>1731</v>
      </c>
      <c r="C3" s="82" t="s">
        <v>25</v>
      </c>
      <c r="D3" s="82" t="s">
        <v>26</v>
      </c>
      <c r="E3" s="123" t="s">
        <v>27</v>
      </c>
      <c r="F3" s="84" t="s">
        <v>1730</v>
      </c>
      <c r="G3" s="82" t="s">
        <v>28</v>
      </c>
      <c r="H3" s="82" t="s">
        <v>28</v>
      </c>
      <c r="I3" s="82" t="s">
        <v>28</v>
      </c>
      <c r="J3" s="82" t="s">
        <v>28</v>
      </c>
      <c r="K3" s="82" t="s">
        <v>28</v>
      </c>
      <c r="L3" s="124" t="s">
        <v>29</v>
      </c>
      <c r="M3" s="83" t="s">
        <v>29</v>
      </c>
      <c r="N3" s="83" t="s">
        <v>29</v>
      </c>
      <c r="O3" s="83" t="s">
        <v>29</v>
      </c>
      <c r="P3" s="125" t="s">
        <v>29</v>
      </c>
      <c r="Q3" s="82" t="s">
        <v>30</v>
      </c>
      <c r="R3" s="82" t="s">
        <v>30</v>
      </c>
      <c r="S3" s="82" t="s">
        <v>30</v>
      </c>
      <c r="T3" s="82" t="s">
        <v>30</v>
      </c>
      <c r="U3" s="82" t="s">
        <v>30</v>
      </c>
      <c r="V3" s="124" t="s">
        <v>31</v>
      </c>
      <c r="W3" s="83" t="s">
        <v>31</v>
      </c>
      <c r="X3" s="83" t="s">
        <v>31</v>
      </c>
      <c r="Y3" s="83" t="s">
        <v>31</v>
      </c>
      <c r="Z3" s="125" t="s">
        <v>31</v>
      </c>
      <c r="AA3" s="82" t="s">
        <v>32</v>
      </c>
      <c r="AB3" s="82" t="s">
        <v>32</v>
      </c>
      <c r="AC3" s="82" t="s">
        <v>32</v>
      </c>
      <c r="AD3" s="82" t="s">
        <v>32</v>
      </c>
      <c r="AE3" s="84" t="s">
        <v>32</v>
      </c>
      <c r="AF3" s="126" t="s">
        <v>1733</v>
      </c>
      <c r="AG3" s="127" t="s">
        <v>1732</v>
      </c>
    </row>
    <row r="4" spans="2:33" ht="15" customHeight="1" x14ac:dyDescent="0.35">
      <c r="B4" s="30" t="s">
        <v>33</v>
      </c>
      <c r="C4" s="32" t="s">
        <v>34</v>
      </c>
      <c r="D4" s="32" t="s">
        <v>1578</v>
      </c>
      <c r="E4" s="33" t="s">
        <v>1577</v>
      </c>
      <c r="F4" s="86" t="s">
        <v>1682</v>
      </c>
      <c r="G4" s="32">
        <v>8</v>
      </c>
      <c r="H4" s="32"/>
      <c r="I4" s="32">
        <v>37</v>
      </c>
      <c r="J4" s="32">
        <v>34</v>
      </c>
      <c r="K4" s="32">
        <v>16</v>
      </c>
      <c r="L4" s="89"/>
      <c r="M4" s="79"/>
      <c r="N4" s="79"/>
      <c r="O4" s="79"/>
      <c r="P4" s="90"/>
      <c r="Q4" s="32"/>
      <c r="R4" s="32"/>
      <c r="S4" s="32"/>
      <c r="T4" s="32"/>
      <c r="U4" s="32"/>
      <c r="V4" s="89"/>
      <c r="W4" s="79"/>
      <c r="X4" s="79"/>
      <c r="Y4" s="79"/>
      <c r="Z4" s="90"/>
      <c r="AA4" s="32"/>
      <c r="AB4" s="32"/>
      <c r="AC4" s="32"/>
      <c r="AD4" s="32"/>
      <c r="AE4" s="76"/>
      <c r="AF4" s="28">
        <f t="shared" ref="AF4:AF35" si="0">SUM(G4:AE4)</f>
        <v>95</v>
      </c>
      <c r="AG4" s="37">
        <f t="shared" ref="AG4:AG35" si="1">COUNT(G4:AE4)</f>
        <v>4</v>
      </c>
    </row>
    <row r="5" spans="2:33" ht="15" customHeight="1" x14ac:dyDescent="0.35">
      <c r="B5" s="28"/>
      <c r="D5" s="1" t="s">
        <v>1579</v>
      </c>
      <c r="E5" s="6" t="s">
        <v>1561</v>
      </c>
      <c r="F5" s="87" t="s">
        <v>1683</v>
      </c>
      <c r="L5" s="91"/>
      <c r="M5" s="80"/>
      <c r="N5" s="80"/>
      <c r="O5" s="80"/>
      <c r="P5" s="92"/>
      <c r="V5" s="91"/>
      <c r="W5" s="80"/>
      <c r="X5" s="80">
        <v>53</v>
      </c>
      <c r="Y5" s="80">
        <v>67</v>
      </c>
      <c r="Z5" s="92"/>
      <c r="AE5" s="37"/>
      <c r="AF5" s="28">
        <f t="shared" si="0"/>
        <v>120</v>
      </c>
      <c r="AG5" s="37">
        <f t="shared" si="1"/>
        <v>2</v>
      </c>
    </row>
    <row r="6" spans="2:33" ht="15" customHeight="1" x14ac:dyDescent="0.35">
      <c r="B6" s="28"/>
      <c r="E6" s="6" t="s">
        <v>1562</v>
      </c>
      <c r="F6" s="87" t="s">
        <v>1684</v>
      </c>
      <c r="L6" s="91"/>
      <c r="M6" s="80">
        <v>2</v>
      </c>
      <c r="N6" s="80">
        <v>10</v>
      </c>
      <c r="O6" s="80"/>
      <c r="P6" s="92"/>
      <c r="V6" s="91"/>
      <c r="W6" s="80">
        <v>12</v>
      </c>
      <c r="X6" s="80">
        <v>20</v>
      </c>
      <c r="Y6" s="80">
        <v>19</v>
      </c>
      <c r="Z6" s="92">
        <v>13</v>
      </c>
      <c r="AE6" s="37"/>
      <c r="AF6" s="28">
        <f t="shared" si="0"/>
        <v>76</v>
      </c>
      <c r="AG6" s="37">
        <f t="shared" si="1"/>
        <v>6</v>
      </c>
    </row>
    <row r="7" spans="2:33" ht="15" customHeight="1" x14ac:dyDescent="0.35">
      <c r="B7" s="28"/>
      <c r="D7" s="1" t="s">
        <v>1580</v>
      </c>
      <c r="E7" s="6" t="s">
        <v>1563</v>
      </c>
      <c r="F7" s="87" t="s">
        <v>1722</v>
      </c>
      <c r="L7" s="91"/>
      <c r="M7" s="80"/>
      <c r="N7" s="80"/>
      <c r="O7" s="80"/>
      <c r="P7" s="92"/>
      <c r="V7" s="91"/>
      <c r="W7" s="80">
        <v>7</v>
      </c>
      <c r="X7" s="80">
        <v>12</v>
      </c>
      <c r="Y7" s="80"/>
      <c r="Z7" s="92"/>
      <c r="AE7" s="37"/>
      <c r="AF7" s="28">
        <f t="shared" si="0"/>
        <v>19</v>
      </c>
      <c r="AG7" s="37">
        <f t="shared" si="1"/>
        <v>2</v>
      </c>
    </row>
    <row r="8" spans="2:33" ht="15" customHeight="1" x14ac:dyDescent="0.35">
      <c r="B8" s="28" t="s">
        <v>37</v>
      </c>
      <c r="C8" s="1" t="s">
        <v>1639</v>
      </c>
      <c r="D8" s="1" t="s">
        <v>1583</v>
      </c>
      <c r="E8" s="6" t="s">
        <v>1581</v>
      </c>
      <c r="F8" s="87" t="s">
        <v>1723</v>
      </c>
      <c r="K8" s="1">
        <v>13</v>
      </c>
      <c r="L8" s="91"/>
      <c r="M8" s="80"/>
      <c r="N8" s="80"/>
      <c r="O8" s="80"/>
      <c r="P8" s="92"/>
      <c r="V8" s="91"/>
      <c r="W8" s="80"/>
      <c r="X8" s="80"/>
      <c r="Y8" s="80"/>
      <c r="Z8" s="92">
        <v>23</v>
      </c>
      <c r="AE8" s="37">
        <v>22</v>
      </c>
      <c r="AF8" s="28">
        <f t="shared" si="0"/>
        <v>58</v>
      </c>
      <c r="AG8" s="37">
        <f t="shared" si="1"/>
        <v>3</v>
      </c>
    </row>
    <row r="9" spans="2:33" ht="15" customHeight="1" x14ac:dyDescent="0.35">
      <c r="B9" s="28"/>
      <c r="E9" s="6" t="s">
        <v>1582</v>
      </c>
      <c r="F9" s="87" t="s">
        <v>1724</v>
      </c>
      <c r="J9" s="1">
        <v>21</v>
      </c>
      <c r="K9" s="1">
        <v>19</v>
      </c>
      <c r="L9" s="91"/>
      <c r="M9" s="80"/>
      <c r="N9" s="80">
        <v>9</v>
      </c>
      <c r="O9" s="80"/>
      <c r="P9" s="92"/>
      <c r="V9" s="91"/>
      <c r="W9" s="80"/>
      <c r="X9" s="80">
        <v>18</v>
      </c>
      <c r="Y9" s="80">
        <v>41</v>
      </c>
      <c r="Z9" s="92"/>
      <c r="AE9" s="37"/>
      <c r="AF9" s="28">
        <f t="shared" si="0"/>
        <v>108</v>
      </c>
      <c r="AG9" s="37">
        <f t="shared" si="1"/>
        <v>5</v>
      </c>
    </row>
    <row r="10" spans="2:33" ht="15" customHeight="1" x14ac:dyDescent="0.35">
      <c r="B10" s="28"/>
      <c r="C10" s="1" t="s">
        <v>1640</v>
      </c>
      <c r="D10" s="1" t="s">
        <v>1585</v>
      </c>
      <c r="E10" s="6" t="s">
        <v>1584</v>
      </c>
      <c r="F10" s="87" t="s">
        <v>1685</v>
      </c>
      <c r="L10" s="91"/>
      <c r="M10" s="80"/>
      <c r="N10" s="80"/>
      <c r="O10" s="80"/>
      <c r="P10" s="92"/>
      <c r="V10" s="91"/>
      <c r="W10" s="80"/>
      <c r="X10" s="80"/>
      <c r="Y10" s="80"/>
      <c r="Z10" s="92"/>
      <c r="AD10" s="1">
        <v>18</v>
      </c>
      <c r="AE10" s="37">
        <v>13</v>
      </c>
      <c r="AF10" s="28">
        <f t="shared" si="0"/>
        <v>31</v>
      </c>
      <c r="AG10" s="37">
        <f t="shared" si="1"/>
        <v>2</v>
      </c>
    </row>
    <row r="11" spans="2:33" ht="15" customHeight="1" x14ac:dyDescent="0.35">
      <c r="B11" s="28"/>
      <c r="C11" s="1" t="s">
        <v>1641</v>
      </c>
      <c r="D11" s="1" t="s">
        <v>1587</v>
      </c>
      <c r="E11" s="6" t="s">
        <v>1586</v>
      </c>
      <c r="F11" s="87" t="s">
        <v>1686</v>
      </c>
      <c r="K11" s="1">
        <v>12</v>
      </c>
      <c r="L11" s="91"/>
      <c r="M11" s="80"/>
      <c r="N11" s="80"/>
      <c r="O11" s="80"/>
      <c r="P11" s="92"/>
      <c r="V11" s="91"/>
      <c r="W11" s="80"/>
      <c r="X11" s="80">
        <v>21</v>
      </c>
      <c r="Y11" s="80">
        <v>9</v>
      </c>
      <c r="Z11" s="92">
        <v>13</v>
      </c>
      <c r="AC11" s="1">
        <v>24</v>
      </c>
      <c r="AE11" s="37"/>
      <c r="AF11" s="28">
        <f t="shared" si="0"/>
        <v>79</v>
      </c>
      <c r="AG11" s="37">
        <f t="shared" si="1"/>
        <v>5</v>
      </c>
    </row>
    <row r="12" spans="2:33" ht="15" customHeight="1" x14ac:dyDescent="0.35">
      <c r="B12" s="28"/>
      <c r="C12" s="1" t="s">
        <v>1642</v>
      </c>
      <c r="D12" s="1" t="s">
        <v>1589</v>
      </c>
      <c r="E12" s="6" t="s">
        <v>1588</v>
      </c>
      <c r="F12" s="87" t="s">
        <v>1687</v>
      </c>
      <c r="L12" s="91">
        <v>31</v>
      </c>
      <c r="M12" s="80">
        <v>6</v>
      </c>
      <c r="N12" s="80">
        <v>3</v>
      </c>
      <c r="O12" s="80"/>
      <c r="P12" s="92">
        <v>78</v>
      </c>
      <c r="R12" s="1">
        <v>12</v>
      </c>
      <c r="U12" s="1">
        <v>21</v>
      </c>
      <c r="V12" s="91">
        <v>32</v>
      </c>
      <c r="W12" s="80"/>
      <c r="X12" s="80">
        <v>3</v>
      </c>
      <c r="Y12" s="80"/>
      <c r="Z12" s="92"/>
      <c r="AA12" s="1">
        <v>7</v>
      </c>
      <c r="AB12" s="1">
        <v>10</v>
      </c>
      <c r="AD12" s="1">
        <v>11</v>
      </c>
      <c r="AE12" s="37">
        <v>3</v>
      </c>
      <c r="AF12" s="28">
        <f t="shared" si="0"/>
        <v>217</v>
      </c>
      <c r="AG12" s="37">
        <f t="shared" si="1"/>
        <v>12</v>
      </c>
    </row>
    <row r="13" spans="2:33" ht="15" customHeight="1" x14ac:dyDescent="0.35">
      <c r="B13" s="28"/>
      <c r="E13" s="6" t="s">
        <v>1564</v>
      </c>
      <c r="F13" s="87" t="s">
        <v>1725</v>
      </c>
      <c r="G13" s="1">
        <v>3</v>
      </c>
      <c r="H13" s="1">
        <v>15</v>
      </c>
      <c r="I13" s="1">
        <v>10</v>
      </c>
      <c r="J13" s="1">
        <v>7</v>
      </c>
      <c r="K13" s="1">
        <v>19</v>
      </c>
      <c r="L13" s="91">
        <v>35</v>
      </c>
      <c r="M13" s="80">
        <v>63</v>
      </c>
      <c r="N13" s="80">
        <v>54</v>
      </c>
      <c r="O13" s="80"/>
      <c r="P13" s="92">
        <v>45</v>
      </c>
      <c r="V13" s="91"/>
      <c r="W13" s="80"/>
      <c r="X13" s="80"/>
      <c r="Y13" s="80"/>
      <c r="Z13" s="92"/>
      <c r="AE13" s="37"/>
      <c r="AF13" s="28">
        <f t="shared" si="0"/>
        <v>251</v>
      </c>
      <c r="AG13" s="37">
        <f t="shared" si="1"/>
        <v>9</v>
      </c>
    </row>
    <row r="14" spans="2:33" ht="15" customHeight="1" x14ac:dyDescent="0.35">
      <c r="B14" s="28"/>
      <c r="C14" s="1" t="s">
        <v>1643</v>
      </c>
      <c r="D14" s="1" t="s">
        <v>1591</v>
      </c>
      <c r="E14" s="6" t="s">
        <v>1590</v>
      </c>
      <c r="F14" s="87" t="s">
        <v>1688</v>
      </c>
      <c r="L14" s="91"/>
      <c r="M14" s="80"/>
      <c r="N14" s="80"/>
      <c r="O14" s="80"/>
      <c r="P14" s="92"/>
      <c r="V14" s="91">
        <v>18</v>
      </c>
      <c r="W14" s="80"/>
      <c r="X14" s="80">
        <v>26</v>
      </c>
      <c r="Y14" s="80">
        <v>6</v>
      </c>
      <c r="Z14" s="92"/>
      <c r="AC14" s="1">
        <v>5</v>
      </c>
      <c r="AD14" s="1">
        <v>10</v>
      </c>
      <c r="AE14" s="37"/>
      <c r="AF14" s="28">
        <f t="shared" si="0"/>
        <v>65</v>
      </c>
      <c r="AG14" s="37">
        <f t="shared" si="1"/>
        <v>5</v>
      </c>
    </row>
    <row r="15" spans="2:33" ht="15" customHeight="1" x14ac:dyDescent="0.35">
      <c r="B15" s="28"/>
      <c r="E15" s="6" t="s">
        <v>1565</v>
      </c>
      <c r="F15" s="87" t="s">
        <v>1689</v>
      </c>
      <c r="L15" s="91"/>
      <c r="M15" s="80"/>
      <c r="N15" s="80"/>
      <c r="O15" s="80"/>
      <c r="P15" s="92"/>
      <c r="V15" s="91"/>
      <c r="W15" s="80"/>
      <c r="X15" s="80"/>
      <c r="Y15" s="80"/>
      <c r="Z15" s="92">
        <v>15</v>
      </c>
      <c r="AA15" s="1">
        <v>3</v>
      </c>
      <c r="AB15" s="1">
        <v>2</v>
      </c>
      <c r="AE15" s="37"/>
      <c r="AF15" s="28">
        <f t="shared" si="0"/>
        <v>20</v>
      </c>
      <c r="AG15" s="37">
        <f t="shared" si="1"/>
        <v>3</v>
      </c>
    </row>
    <row r="16" spans="2:33" ht="15" customHeight="1" x14ac:dyDescent="0.35">
      <c r="B16" s="28" t="s">
        <v>40</v>
      </c>
      <c r="C16" s="1" t="s">
        <v>1644</v>
      </c>
      <c r="D16" s="1" t="s">
        <v>1595</v>
      </c>
      <c r="E16" s="6" t="s">
        <v>1592</v>
      </c>
      <c r="F16" s="87" t="s">
        <v>1690</v>
      </c>
      <c r="L16" s="91"/>
      <c r="M16" s="80"/>
      <c r="N16" s="80"/>
      <c r="O16" s="80"/>
      <c r="P16" s="92"/>
      <c r="U16" s="1">
        <v>14</v>
      </c>
      <c r="V16" s="91">
        <v>3</v>
      </c>
      <c r="W16" s="80"/>
      <c r="X16" s="80"/>
      <c r="Y16" s="80"/>
      <c r="Z16" s="92"/>
      <c r="AB16" s="1">
        <v>3</v>
      </c>
      <c r="AC16" s="1">
        <v>6</v>
      </c>
      <c r="AD16" s="1">
        <v>4</v>
      </c>
      <c r="AE16" s="37"/>
      <c r="AF16" s="28">
        <f t="shared" si="0"/>
        <v>30</v>
      </c>
      <c r="AG16" s="37">
        <f t="shared" si="1"/>
        <v>5</v>
      </c>
    </row>
    <row r="17" spans="2:33" ht="15" customHeight="1" x14ac:dyDescent="0.35">
      <c r="B17" s="28"/>
      <c r="E17" s="6" t="s">
        <v>1566</v>
      </c>
      <c r="F17" s="87" t="s">
        <v>1691</v>
      </c>
      <c r="L17" s="91"/>
      <c r="M17" s="80"/>
      <c r="N17" s="80"/>
      <c r="O17" s="80"/>
      <c r="P17" s="92"/>
      <c r="V17" s="91"/>
      <c r="W17" s="80">
        <v>14</v>
      </c>
      <c r="X17" s="80"/>
      <c r="Y17" s="80">
        <v>5</v>
      </c>
      <c r="Z17" s="92"/>
      <c r="AB17" s="1">
        <v>6</v>
      </c>
      <c r="AC17" s="1">
        <v>15</v>
      </c>
      <c r="AE17" s="37"/>
      <c r="AF17" s="28">
        <f t="shared" si="0"/>
        <v>40</v>
      </c>
      <c r="AG17" s="37">
        <f t="shared" si="1"/>
        <v>4</v>
      </c>
    </row>
    <row r="18" spans="2:33" ht="15" customHeight="1" x14ac:dyDescent="0.35">
      <c r="B18" s="28"/>
      <c r="E18" s="6" t="s">
        <v>1567</v>
      </c>
      <c r="F18" s="87" t="s">
        <v>1692</v>
      </c>
      <c r="L18" s="91"/>
      <c r="M18" s="80"/>
      <c r="N18" s="80">
        <v>25</v>
      </c>
      <c r="O18" s="80">
        <v>39</v>
      </c>
      <c r="P18" s="92"/>
      <c r="V18" s="91"/>
      <c r="W18" s="80"/>
      <c r="X18" s="80"/>
      <c r="Y18" s="80"/>
      <c r="Z18" s="92"/>
      <c r="AE18" s="37"/>
      <c r="AF18" s="28">
        <f t="shared" si="0"/>
        <v>64</v>
      </c>
      <c r="AG18" s="37">
        <f t="shared" si="1"/>
        <v>2</v>
      </c>
    </row>
    <row r="19" spans="2:33" ht="15" customHeight="1" x14ac:dyDescent="0.35">
      <c r="B19" s="28"/>
      <c r="D19" s="1" t="s">
        <v>1596</v>
      </c>
      <c r="E19" s="6" t="s">
        <v>1593</v>
      </c>
      <c r="F19" s="87" t="s">
        <v>1693</v>
      </c>
      <c r="L19" s="91">
        <v>36</v>
      </c>
      <c r="M19" s="80">
        <v>15</v>
      </c>
      <c r="N19" s="80">
        <v>67</v>
      </c>
      <c r="O19" s="80">
        <v>2</v>
      </c>
      <c r="P19" s="92">
        <v>84</v>
      </c>
      <c r="R19" s="1">
        <v>41</v>
      </c>
      <c r="S19" s="1">
        <v>7</v>
      </c>
      <c r="T19" s="1">
        <v>29</v>
      </c>
      <c r="U19" s="1">
        <v>33</v>
      </c>
      <c r="V19" s="91">
        <v>11</v>
      </c>
      <c r="W19" s="80">
        <v>2</v>
      </c>
      <c r="X19" s="80"/>
      <c r="Y19" s="80"/>
      <c r="Z19" s="92"/>
      <c r="AA19" s="1">
        <v>32</v>
      </c>
      <c r="AB19" s="1">
        <v>71</v>
      </c>
      <c r="AC19" s="1">
        <v>22</v>
      </c>
      <c r="AD19" s="1">
        <v>6</v>
      </c>
      <c r="AE19" s="37">
        <v>5</v>
      </c>
      <c r="AF19" s="28">
        <f t="shared" si="0"/>
        <v>463</v>
      </c>
      <c r="AG19" s="37">
        <f t="shared" si="1"/>
        <v>16</v>
      </c>
    </row>
    <row r="20" spans="2:33" ht="15" customHeight="1" x14ac:dyDescent="0.35">
      <c r="B20" s="28"/>
      <c r="D20" s="1" t="s">
        <v>1597</v>
      </c>
      <c r="E20" s="6" t="s">
        <v>1594</v>
      </c>
      <c r="F20" s="87" t="s">
        <v>1694</v>
      </c>
      <c r="H20" s="1">
        <v>30</v>
      </c>
      <c r="J20" s="1">
        <v>56</v>
      </c>
      <c r="K20" s="1">
        <v>44</v>
      </c>
      <c r="L20" s="91">
        <v>131</v>
      </c>
      <c r="M20" s="80">
        <v>127</v>
      </c>
      <c r="N20" s="80">
        <v>89</v>
      </c>
      <c r="O20" s="80">
        <v>67</v>
      </c>
      <c r="P20" s="92">
        <v>113</v>
      </c>
      <c r="Q20" s="1">
        <v>33</v>
      </c>
      <c r="R20" s="1">
        <v>28</v>
      </c>
      <c r="S20" s="1">
        <v>41</v>
      </c>
      <c r="T20" s="1">
        <v>32</v>
      </c>
      <c r="U20" s="1">
        <v>38</v>
      </c>
      <c r="V20" s="91">
        <v>66</v>
      </c>
      <c r="W20" s="80">
        <v>44</v>
      </c>
      <c r="X20" s="80">
        <v>72</v>
      </c>
      <c r="Y20" s="80">
        <v>189</v>
      </c>
      <c r="Z20" s="92">
        <v>59</v>
      </c>
      <c r="AA20" s="1">
        <v>42</v>
      </c>
      <c r="AB20" s="1">
        <v>62</v>
      </c>
      <c r="AC20" s="1">
        <v>23</v>
      </c>
      <c r="AD20" s="1">
        <v>81</v>
      </c>
      <c r="AE20" s="37">
        <v>19</v>
      </c>
      <c r="AF20" s="28">
        <f t="shared" si="0"/>
        <v>1486</v>
      </c>
      <c r="AG20" s="37">
        <f t="shared" si="1"/>
        <v>23</v>
      </c>
    </row>
    <row r="21" spans="2:33" ht="15" customHeight="1" x14ac:dyDescent="0.35">
      <c r="B21" s="28"/>
      <c r="E21" s="6" t="s">
        <v>1568</v>
      </c>
      <c r="F21" s="87" t="s">
        <v>1695</v>
      </c>
      <c r="H21" s="1">
        <v>15</v>
      </c>
      <c r="J21" s="1">
        <v>13</v>
      </c>
      <c r="K21" s="1">
        <v>5</v>
      </c>
      <c r="L21" s="91">
        <v>102</v>
      </c>
      <c r="M21" s="80"/>
      <c r="N21" s="80"/>
      <c r="O21" s="80"/>
      <c r="P21" s="92">
        <v>10</v>
      </c>
      <c r="R21" s="1">
        <v>3</v>
      </c>
      <c r="T21" s="1">
        <v>6</v>
      </c>
      <c r="V21" s="91">
        <v>5</v>
      </c>
      <c r="W21" s="80"/>
      <c r="X21" s="80"/>
      <c r="Y21" s="80">
        <v>47</v>
      </c>
      <c r="Z21" s="92">
        <v>60</v>
      </c>
      <c r="AB21" s="1">
        <v>15</v>
      </c>
      <c r="AC21" s="1">
        <v>5</v>
      </c>
      <c r="AD21" s="1">
        <v>20</v>
      </c>
      <c r="AE21" s="37"/>
      <c r="AF21" s="28">
        <f t="shared" si="0"/>
        <v>306</v>
      </c>
      <c r="AG21" s="37">
        <f t="shared" si="1"/>
        <v>13</v>
      </c>
    </row>
    <row r="22" spans="2:33" ht="15" customHeight="1" x14ac:dyDescent="0.35">
      <c r="B22" s="28"/>
      <c r="D22" s="1" t="s">
        <v>1598</v>
      </c>
      <c r="E22" s="6" t="s">
        <v>1569</v>
      </c>
      <c r="F22" s="87" t="s">
        <v>1696</v>
      </c>
      <c r="L22" s="91">
        <v>91</v>
      </c>
      <c r="M22" s="80">
        <v>116</v>
      </c>
      <c r="N22" s="80">
        <v>135</v>
      </c>
      <c r="O22" s="80">
        <v>81</v>
      </c>
      <c r="P22" s="92">
        <v>79</v>
      </c>
      <c r="Q22" s="1">
        <v>5</v>
      </c>
      <c r="R22" s="1">
        <v>2</v>
      </c>
      <c r="U22" s="1">
        <v>10</v>
      </c>
      <c r="V22" s="91">
        <v>69</v>
      </c>
      <c r="W22" s="80">
        <v>102</v>
      </c>
      <c r="X22" s="80">
        <v>16</v>
      </c>
      <c r="Y22" s="80">
        <v>20</v>
      </c>
      <c r="Z22" s="92">
        <v>5</v>
      </c>
      <c r="AA22" s="1">
        <v>43</v>
      </c>
      <c r="AB22" s="1">
        <v>45</v>
      </c>
      <c r="AC22" s="1">
        <v>33</v>
      </c>
      <c r="AD22" s="1">
        <v>25</v>
      </c>
      <c r="AE22" s="37">
        <v>23</v>
      </c>
      <c r="AF22" s="28">
        <f t="shared" si="0"/>
        <v>900</v>
      </c>
      <c r="AG22" s="37">
        <f t="shared" si="1"/>
        <v>18</v>
      </c>
    </row>
    <row r="23" spans="2:33" ht="15" customHeight="1" x14ac:dyDescent="0.35">
      <c r="B23" s="28"/>
      <c r="E23" s="6" t="s">
        <v>1570</v>
      </c>
      <c r="F23" s="87" t="s">
        <v>1697</v>
      </c>
      <c r="L23" s="91"/>
      <c r="M23" s="80">
        <v>22</v>
      </c>
      <c r="N23" s="80">
        <v>63</v>
      </c>
      <c r="O23" s="80">
        <v>7</v>
      </c>
      <c r="P23" s="92"/>
      <c r="R23" s="1">
        <v>2</v>
      </c>
      <c r="V23" s="91">
        <v>13</v>
      </c>
      <c r="W23" s="80">
        <v>23</v>
      </c>
      <c r="X23" s="80"/>
      <c r="Y23" s="80">
        <v>5</v>
      </c>
      <c r="Z23" s="92">
        <v>5</v>
      </c>
      <c r="AA23" s="1">
        <v>7</v>
      </c>
      <c r="AB23" s="1">
        <v>15</v>
      </c>
      <c r="AC23" s="1">
        <v>9</v>
      </c>
      <c r="AE23" s="37"/>
      <c r="AF23" s="28">
        <f t="shared" si="0"/>
        <v>171</v>
      </c>
      <c r="AG23" s="37">
        <f t="shared" si="1"/>
        <v>11</v>
      </c>
    </row>
    <row r="24" spans="2:33" ht="15" customHeight="1" x14ac:dyDescent="0.35">
      <c r="B24" s="28"/>
      <c r="D24" s="1" t="s">
        <v>1600</v>
      </c>
      <c r="E24" s="6" t="s">
        <v>1599</v>
      </c>
      <c r="F24" s="128" t="s">
        <v>1848</v>
      </c>
      <c r="L24" s="91"/>
      <c r="M24" s="80"/>
      <c r="N24" s="80"/>
      <c r="O24" s="80"/>
      <c r="P24" s="92"/>
      <c r="V24" s="91"/>
      <c r="W24" s="80"/>
      <c r="X24" s="80"/>
      <c r="Y24" s="80"/>
      <c r="Z24" s="92"/>
      <c r="AB24" s="1">
        <v>9</v>
      </c>
      <c r="AC24" s="1">
        <v>22</v>
      </c>
      <c r="AD24" s="1">
        <v>32</v>
      </c>
      <c r="AE24" s="37">
        <v>12</v>
      </c>
      <c r="AF24" s="28">
        <f t="shared" si="0"/>
        <v>75</v>
      </c>
      <c r="AG24" s="37">
        <f t="shared" si="1"/>
        <v>4</v>
      </c>
    </row>
    <row r="25" spans="2:33" ht="15" customHeight="1" x14ac:dyDescent="0.35">
      <c r="B25" s="28"/>
      <c r="C25" s="1" t="s">
        <v>1873</v>
      </c>
      <c r="D25" s="1" t="s">
        <v>1602</v>
      </c>
      <c r="E25" s="6" t="s">
        <v>1601</v>
      </c>
      <c r="F25" s="87" t="s">
        <v>1698</v>
      </c>
      <c r="L25" s="91">
        <v>19</v>
      </c>
      <c r="M25" s="80"/>
      <c r="N25" s="80"/>
      <c r="O25" s="80">
        <v>24</v>
      </c>
      <c r="P25" s="92"/>
      <c r="V25" s="91"/>
      <c r="W25" s="80"/>
      <c r="X25" s="80"/>
      <c r="Y25" s="80"/>
      <c r="Z25" s="92"/>
      <c r="AD25" s="1">
        <v>23</v>
      </c>
      <c r="AE25" s="37">
        <v>6</v>
      </c>
      <c r="AF25" s="28">
        <f t="shared" si="0"/>
        <v>72</v>
      </c>
      <c r="AG25" s="37">
        <f t="shared" si="1"/>
        <v>4</v>
      </c>
    </row>
    <row r="26" spans="2:33" ht="15" customHeight="1" x14ac:dyDescent="0.35">
      <c r="B26" s="28" t="s">
        <v>43</v>
      </c>
      <c r="C26" s="1" t="s">
        <v>1660</v>
      </c>
      <c r="D26" s="1" t="s">
        <v>1604</v>
      </c>
      <c r="E26" s="6" t="s">
        <v>1603</v>
      </c>
      <c r="F26" s="87" t="s">
        <v>1699</v>
      </c>
      <c r="L26" s="91">
        <v>14</v>
      </c>
      <c r="M26" s="80">
        <v>58</v>
      </c>
      <c r="N26" s="80">
        <v>42</v>
      </c>
      <c r="O26" s="80"/>
      <c r="P26" s="92"/>
      <c r="Q26" s="1">
        <v>7</v>
      </c>
      <c r="R26" s="1">
        <v>30</v>
      </c>
      <c r="V26" s="91"/>
      <c r="W26" s="80"/>
      <c r="X26" s="80"/>
      <c r="Y26" s="80"/>
      <c r="Z26" s="92"/>
      <c r="AA26" s="1">
        <v>9</v>
      </c>
      <c r="AC26" s="1">
        <v>3</v>
      </c>
      <c r="AE26" s="37"/>
      <c r="AF26" s="28">
        <f t="shared" si="0"/>
        <v>163</v>
      </c>
      <c r="AG26" s="37">
        <f t="shared" si="1"/>
        <v>7</v>
      </c>
    </row>
    <row r="27" spans="2:33" ht="15" customHeight="1" x14ac:dyDescent="0.35">
      <c r="B27" s="28"/>
      <c r="E27" s="6" t="s">
        <v>1571</v>
      </c>
      <c r="F27" s="87" t="s">
        <v>1700</v>
      </c>
      <c r="L27" s="91"/>
      <c r="M27" s="80">
        <v>27</v>
      </c>
      <c r="N27" s="80">
        <v>43</v>
      </c>
      <c r="O27" s="80">
        <v>22</v>
      </c>
      <c r="P27" s="92"/>
      <c r="Q27" s="1">
        <v>3</v>
      </c>
      <c r="R27" s="1">
        <v>21</v>
      </c>
      <c r="T27" s="1">
        <v>26</v>
      </c>
      <c r="U27" s="1">
        <v>10</v>
      </c>
      <c r="V27" s="91"/>
      <c r="W27" s="80">
        <v>24</v>
      </c>
      <c r="X27" s="80"/>
      <c r="Y27" s="80">
        <v>3</v>
      </c>
      <c r="Z27" s="92"/>
      <c r="AA27" s="1">
        <v>29</v>
      </c>
      <c r="AB27" s="1">
        <v>37</v>
      </c>
      <c r="AC27" s="1">
        <v>23</v>
      </c>
      <c r="AD27" s="1">
        <v>7</v>
      </c>
      <c r="AE27" s="37"/>
      <c r="AF27" s="28">
        <f t="shared" si="0"/>
        <v>275</v>
      </c>
      <c r="AG27" s="37">
        <f t="shared" si="1"/>
        <v>13</v>
      </c>
    </row>
    <row r="28" spans="2:33" ht="15" customHeight="1" x14ac:dyDescent="0.35">
      <c r="B28" s="28"/>
      <c r="C28" s="1" t="s">
        <v>1661</v>
      </c>
      <c r="D28" s="1" t="s">
        <v>1606</v>
      </c>
      <c r="E28" s="6" t="s">
        <v>1605</v>
      </c>
      <c r="F28" s="87" t="s">
        <v>1701</v>
      </c>
      <c r="L28" s="91"/>
      <c r="M28" s="80"/>
      <c r="N28" s="80">
        <v>18</v>
      </c>
      <c r="O28" s="80"/>
      <c r="P28" s="92">
        <v>20</v>
      </c>
      <c r="T28" s="1">
        <v>22</v>
      </c>
      <c r="V28" s="91">
        <v>15</v>
      </c>
      <c r="W28" s="80">
        <v>6</v>
      </c>
      <c r="X28" s="80"/>
      <c r="Y28" s="80">
        <v>10</v>
      </c>
      <c r="Z28" s="92">
        <v>7</v>
      </c>
      <c r="AE28" s="37"/>
      <c r="AF28" s="28">
        <f t="shared" si="0"/>
        <v>98</v>
      </c>
      <c r="AG28" s="37">
        <f t="shared" si="1"/>
        <v>7</v>
      </c>
    </row>
    <row r="29" spans="2:33" ht="15" customHeight="1" x14ac:dyDescent="0.35">
      <c r="B29" s="28"/>
      <c r="C29" s="1" t="s">
        <v>1662</v>
      </c>
      <c r="D29" s="1" t="s">
        <v>1608</v>
      </c>
      <c r="E29" s="6" t="s">
        <v>1607</v>
      </c>
      <c r="F29" s="87" t="s">
        <v>1702</v>
      </c>
      <c r="L29" s="91"/>
      <c r="M29" s="80"/>
      <c r="N29" s="80"/>
      <c r="O29" s="80"/>
      <c r="P29" s="92"/>
      <c r="V29" s="91"/>
      <c r="W29" s="80"/>
      <c r="X29" s="80"/>
      <c r="Y29" s="80"/>
      <c r="Z29" s="92"/>
      <c r="AB29" s="1">
        <v>7</v>
      </c>
      <c r="AD29" s="1">
        <v>18</v>
      </c>
      <c r="AE29" s="37"/>
      <c r="AF29" s="28">
        <f t="shared" si="0"/>
        <v>25</v>
      </c>
      <c r="AG29" s="37">
        <f t="shared" si="1"/>
        <v>2</v>
      </c>
    </row>
    <row r="30" spans="2:33" ht="15" customHeight="1" x14ac:dyDescent="0.35">
      <c r="B30" s="28"/>
      <c r="C30" s="1" t="s">
        <v>1663</v>
      </c>
      <c r="D30" s="1" t="s">
        <v>1611</v>
      </c>
      <c r="E30" s="6" t="s">
        <v>1609</v>
      </c>
      <c r="F30" s="87" t="s">
        <v>1726</v>
      </c>
      <c r="G30" s="1">
        <v>5</v>
      </c>
      <c r="I30" s="1">
        <v>2</v>
      </c>
      <c r="L30" s="91"/>
      <c r="M30" s="80"/>
      <c r="N30" s="80"/>
      <c r="O30" s="80"/>
      <c r="P30" s="92"/>
      <c r="V30" s="91"/>
      <c r="W30" s="80"/>
      <c r="X30" s="80"/>
      <c r="Y30" s="80"/>
      <c r="Z30" s="92"/>
      <c r="AE30" s="37"/>
      <c r="AF30" s="28">
        <f t="shared" si="0"/>
        <v>7</v>
      </c>
      <c r="AG30" s="37">
        <f t="shared" si="1"/>
        <v>2</v>
      </c>
    </row>
    <row r="31" spans="2:33" ht="15" customHeight="1" x14ac:dyDescent="0.35">
      <c r="B31" s="28"/>
      <c r="E31" s="6" t="s">
        <v>1856</v>
      </c>
      <c r="F31" s="87" t="s">
        <v>1703</v>
      </c>
      <c r="L31" s="91"/>
      <c r="M31" s="80"/>
      <c r="N31" s="80"/>
      <c r="O31" s="80"/>
      <c r="P31" s="92"/>
      <c r="V31" s="91"/>
      <c r="W31" s="80"/>
      <c r="X31" s="80">
        <v>2</v>
      </c>
      <c r="Y31" s="80">
        <v>10</v>
      </c>
      <c r="Z31" s="92"/>
      <c r="AA31" s="1">
        <v>6</v>
      </c>
      <c r="AB31" s="1">
        <v>10</v>
      </c>
      <c r="AC31" s="1">
        <v>9</v>
      </c>
      <c r="AE31" s="37"/>
      <c r="AF31" s="28">
        <f t="shared" si="0"/>
        <v>37</v>
      </c>
      <c r="AG31" s="37">
        <f t="shared" si="1"/>
        <v>5</v>
      </c>
    </row>
    <row r="32" spans="2:33" ht="15" customHeight="1" x14ac:dyDescent="0.35">
      <c r="B32" s="28"/>
      <c r="D32" s="1" t="s">
        <v>1612</v>
      </c>
      <c r="E32" s="6" t="s">
        <v>1610</v>
      </c>
      <c r="F32" s="87" t="s">
        <v>1727</v>
      </c>
      <c r="L32" s="91"/>
      <c r="M32" s="80"/>
      <c r="N32" s="80"/>
      <c r="O32" s="80"/>
      <c r="P32" s="92">
        <v>20</v>
      </c>
      <c r="V32" s="91">
        <v>12</v>
      </c>
      <c r="W32" s="80">
        <v>15</v>
      </c>
      <c r="X32" s="80">
        <v>6</v>
      </c>
      <c r="Y32" s="80">
        <v>6</v>
      </c>
      <c r="Z32" s="92">
        <v>15</v>
      </c>
      <c r="AA32" s="1">
        <v>13</v>
      </c>
      <c r="AB32" s="1">
        <v>16</v>
      </c>
      <c r="AC32" s="1">
        <v>3</v>
      </c>
      <c r="AE32" s="37"/>
      <c r="AF32" s="28">
        <f t="shared" si="0"/>
        <v>106</v>
      </c>
      <c r="AG32" s="37">
        <f t="shared" si="1"/>
        <v>9</v>
      </c>
    </row>
    <row r="33" spans="1:33" ht="15" customHeight="1" x14ac:dyDescent="0.35">
      <c r="B33" s="28"/>
      <c r="E33" s="6" t="s">
        <v>1613</v>
      </c>
      <c r="F33" s="87" t="s">
        <v>1704</v>
      </c>
      <c r="L33" s="91"/>
      <c r="M33" s="80"/>
      <c r="N33" s="80"/>
      <c r="O33" s="80"/>
      <c r="P33" s="92">
        <v>7</v>
      </c>
      <c r="V33" s="91">
        <v>4</v>
      </c>
      <c r="W33" s="80">
        <v>51</v>
      </c>
      <c r="X33" s="80">
        <v>30</v>
      </c>
      <c r="Y33" s="80">
        <v>34</v>
      </c>
      <c r="Z33" s="92">
        <v>75</v>
      </c>
      <c r="AA33" s="1">
        <v>8</v>
      </c>
      <c r="AC33" s="1">
        <v>12</v>
      </c>
      <c r="AD33" s="1">
        <v>4</v>
      </c>
      <c r="AE33" s="37">
        <v>28</v>
      </c>
      <c r="AF33" s="28">
        <f t="shared" si="0"/>
        <v>253</v>
      </c>
      <c r="AG33" s="37">
        <f t="shared" si="1"/>
        <v>10</v>
      </c>
    </row>
    <row r="34" spans="1:33" ht="15" customHeight="1" x14ac:dyDescent="0.35">
      <c r="B34" s="28"/>
      <c r="E34" s="6" t="s">
        <v>1614</v>
      </c>
      <c r="F34" s="87" t="s">
        <v>1705</v>
      </c>
      <c r="G34" s="1">
        <v>5</v>
      </c>
      <c r="H34" s="1">
        <v>10</v>
      </c>
      <c r="I34" s="1">
        <v>4</v>
      </c>
      <c r="K34" s="1">
        <v>4</v>
      </c>
      <c r="L34" s="91">
        <v>49</v>
      </c>
      <c r="M34" s="80">
        <v>13</v>
      </c>
      <c r="N34" s="80">
        <v>13</v>
      </c>
      <c r="O34" s="80"/>
      <c r="P34" s="92">
        <v>46</v>
      </c>
      <c r="R34" s="1">
        <v>17</v>
      </c>
      <c r="S34" s="1">
        <v>15</v>
      </c>
      <c r="T34" s="1">
        <v>27</v>
      </c>
      <c r="U34" s="1">
        <v>20</v>
      </c>
      <c r="V34" s="91"/>
      <c r="W34" s="80">
        <v>12</v>
      </c>
      <c r="X34" s="80">
        <v>17</v>
      </c>
      <c r="Y34" s="80"/>
      <c r="Z34" s="92">
        <v>23</v>
      </c>
      <c r="AB34" s="1">
        <v>35</v>
      </c>
      <c r="AC34" s="1">
        <v>17</v>
      </c>
      <c r="AD34" s="1">
        <v>32</v>
      </c>
      <c r="AE34" s="37">
        <v>18</v>
      </c>
      <c r="AF34" s="28">
        <f t="shared" si="0"/>
        <v>377</v>
      </c>
      <c r="AG34" s="37">
        <f t="shared" si="1"/>
        <v>19</v>
      </c>
    </row>
    <row r="35" spans="1:33" ht="15" customHeight="1" x14ac:dyDescent="0.35">
      <c r="B35" s="28"/>
      <c r="E35" s="6" t="s">
        <v>1615</v>
      </c>
      <c r="F35" s="87" t="s">
        <v>1706</v>
      </c>
      <c r="L35" s="91"/>
      <c r="M35" s="80"/>
      <c r="N35" s="80"/>
      <c r="O35" s="80"/>
      <c r="P35" s="92"/>
      <c r="Q35" s="1">
        <v>70</v>
      </c>
      <c r="R35" s="1">
        <v>92</v>
      </c>
      <c r="S35" s="1">
        <v>121</v>
      </c>
      <c r="T35" s="1">
        <v>90</v>
      </c>
      <c r="U35" s="1">
        <v>131</v>
      </c>
      <c r="V35" s="91">
        <v>5</v>
      </c>
      <c r="W35" s="80"/>
      <c r="X35" s="80"/>
      <c r="Y35" s="80"/>
      <c r="Z35" s="92"/>
      <c r="AE35" s="37"/>
      <c r="AF35" s="28">
        <f t="shared" si="0"/>
        <v>509</v>
      </c>
      <c r="AG35" s="37">
        <f t="shared" si="1"/>
        <v>6</v>
      </c>
    </row>
    <row r="36" spans="1:33" ht="15" customHeight="1" x14ac:dyDescent="0.35">
      <c r="B36" s="28"/>
      <c r="C36" s="1" t="s">
        <v>1664</v>
      </c>
      <c r="D36" s="1" t="s">
        <v>1617</v>
      </c>
      <c r="E36" s="6" t="s">
        <v>1616</v>
      </c>
      <c r="F36" s="87" t="s">
        <v>1707</v>
      </c>
      <c r="L36" s="91">
        <v>34</v>
      </c>
      <c r="M36" s="80">
        <v>38</v>
      </c>
      <c r="N36" s="80">
        <v>91</v>
      </c>
      <c r="O36" s="80">
        <v>69</v>
      </c>
      <c r="P36" s="92"/>
      <c r="Q36" s="1">
        <v>5</v>
      </c>
      <c r="R36" s="1">
        <v>18</v>
      </c>
      <c r="S36" s="1">
        <v>5</v>
      </c>
      <c r="T36" s="1">
        <v>27</v>
      </c>
      <c r="U36" s="1">
        <v>35</v>
      </c>
      <c r="V36" s="91">
        <v>3</v>
      </c>
      <c r="W36" s="80">
        <v>33</v>
      </c>
      <c r="X36" s="80"/>
      <c r="Y36" s="80">
        <v>13</v>
      </c>
      <c r="Z36" s="92">
        <v>10</v>
      </c>
      <c r="AA36" s="1">
        <v>4</v>
      </c>
      <c r="AE36" s="37"/>
      <c r="AF36" s="28">
        <f t="shared" ref="AF36:AF52" si="2">SUM(G36:AE36)</f>
        <v>385</v>
      </c>
      <c r="AG36" s="37">
        <f t="shared" ref="AG36:AG52" si="3">COUNT(G36:AE36)</f>
        <v>14</v>
      </c>
    </row>
    <row r="37" spans="1:33" ht="15" customHeight="1" x14ac:dyDescent="0.35">
      <c r="B37" s="28"/>
      <c r="C37" s="1" t="s">
        <v>1665</v>
      </c>
      <c r="D37" s="1" t="s">
        <v>1619</v>
      </c>
      <c r="E37" s="6" t="s">
        <v>1618</v>
      </c>
      <c r="F37" s="87" t="s">
        <v>1708</v>
      </c>
      <c r="L37" s="91"/>
      <c r="M37" s="80"/>
      <c r="N37" s="80">
        <v>48</v>
      </c>
      <c r="O37" s="80">
        <v>42</v>
      </c>
      <c r="P37" s="92"/>
      <c r="V37" s="91"/>
      <c r="W37" s="80"/>
      <c r="X37" s="80">
        <v>6</v>
      </c>
      <c r="Y37" s="80"/>
      <c r="Z37" s="92"/>
      <c r="AE37" s="37"/>
      <c r="AF37" s="28">
        <f t="shared" si="2"/>
        <v>96</v>
      </c>
      <c r="AG37" s="37">
        <f t="shared" si="3"/>
        <v>3</v>
      </c>
    </row>
    <row r="38" spans="1:33" ht="15" customHeight="1" x14ac:dyDescent="0.35">
      <c r="B38" s="28"/>
      <c r="C38" s="1" t="s">
        <v>1667</v>
      </c>
      <c r="D38" s="7" t="s">
        <v>1621</v>
      </c>
      <c r="E38" s="6" t="s">
        <v>1620</v>
      </c>
      <c r="F38" s="87" t="s">
        <v>1709</v>
      </c>
      <c r="L38" s="91">
        <v>163</v>
      </c>
      <c r="M38" s="80">
        <v>106</v>
      </c>
      <c r="N38" s="80">
        <v>113</v>
      </c>
      <c r="O38" s="80">
        <v>94</v>
      </c>
      <c r="P38" s="92">
        <v>121</v>
      </c>
      <c r="Q38" s="1">
        <v>21</v>
      </c>
      <c r="R38" s="1">
        <v>36</v>
      </c>
      <c r="S38" s="1">
        <v>54</v>
      </c>
      <c r="T38" s="1">
        <v>49</v>
      </c>
      <c r="U38" s="1">
        <v>46</v>
      </c>
      <c r="V38" s="91">
        <v>22</v>
      </c>
      <c r="W38" s="80">
        <v>20</v>
      </c>
      <c r="X38" s="80">
        <v>95</v>
      </c>
      <c r="Y38" s="80">
        <v>43</v>
      </c>
      <c r="Z38" s="92">
        <v>30</v>
      </c>
      <c r="AA38" s="1">
        <v>16</v>
      </c>
      <c r="AE38" s="37"/>
      <c r="AF38" s="28">
        <f t="shared" si="2"/>
        <v>1029</v>
      </c>
      <c r="AG38" s="37">
        <f t="shared" si="3"/>
        <v>16</v>
      </c>
    </row>
    <row r="39" spans="1:33" ht="15" customHeight="1" x14ac:dyDescent="0.35">
      <c r="B39" s="28"/>
      <c r="C39" s="1" t="s">
        <v>1669</v>
      </c>
      <c r="D39" s="1" t="s">
        <v>1622</v>
      </c>
      <c r="E39" s="6" t="s">
        <v>1625</v>
      </c>
      <c r="F39" s="87" t="s">
        <v>1710</v>
      </c>
      <c r="L39" s="91"/>
      <c r="M39" s="80"/>
      <c r="N39" s="80"/>
      <c r="O39" s="80"/>
      <c r="P39" s="92"/>
      <c r="V39" s="91"/>
      <c r="W39" s="80">
        <v>15</v>
      </c>
      <c r="X39" s="80"/>
      <c r="Y39" s="80"/>
      <c r="Z39" s="92"/>
      <c r="AA39" s="1">
        <v>15</v>
      </c>
      <c r="AE39" s="37">
        <v>5</v>
      </c>
      <c r="AF39" s="28">
        <f t="shared" si="2"/>
        <v>35</v>
      </c>
      <c r="AG39" s="37">
        <f t="shared" si="3"/>
        <v>3</v>
      </c>
    </row>
    <row r="40" spans="1:33" ht="15" customHeight="1" x14ac:dyDescent="0.35">
      <c r="B40" s="28"/>
      <c r="C40" s="1" t="s">
        <v>1679</v>
      </c>
      <c r="D40" s="1" t="s">
        <v>1623</v>
      </c>
      <c r="E40" s="6" t="s">
        <v>1624</v>
      </c>
      <c r="F40" s="87" t="s">
        <v>1711</v>
      </c>
      <c r="L40" s="91">
        <v>25</v>
      </c>
      <c r="M40" s="80">
        <v>10</v>
      </c>
      <c r="N40" s="80"/>
      <c r="O40" s="80"/>
      <c r="P40" s="92"/>
      <c r="V40" s="91">
        <v>6</v>
      </c>
      <c r="W40" s="80">
        <v>11</v>
      </c>
      <c r="X40" s="80"/>
      <c r="Y40" s="80"/>
      <c r="Z40" s="92"/>
      <c r="AB40" s="1">
        <v>28</v>
      </c>
      <c r="AE40" s="37">
        <v>10</v>
      </c>
      <c r="AF40" s="28">
        <f t="shared" si="2"/>
        <v>90</v>
      </c>
      <c r="AG40" s="37">
        <f t="shared" si="3"/>
        <v>6</v>
      </c>
    </row>
    <row r="41" spans="1:33" ht="15" customHeight="1" x14ac:dyDescent="0.35">
      <c r="B41" s="28"/>
      <c r="E41" s="6" t="s">
        <v>1626</v>
      </c>
      <c r="F41" s="87" t="s">
        <v>1712</v>
      </c>
      <c r="L41" s="91">
        <v>18</v>
      </c>
      <c r="M41" s="80">
        <v>56</v>
      </c>
      <c r="N41" s="80"/>
      <c r="O41" s="80"/>
      <c r="P41" s="92"/>
      <c r="U41" s="1">
        <v>18</v>
      </c>
      <c r="V41" s="91">
        <v>6</v>
      </c>
      <c r="W41" s="80">
        <v>21</v>
      </c>
      <c r="X41" s="80">
        <v>10</v>
      </c>
      <c r="Y41" s="80">
        <v>19</v>
      </c>
      <c r="Z41" s="92"/>
      <c r="AE41" s="37"/>
      <c r="AF41" s="28">
        <f t="shared" si="2"/>
        <v>148</v>
      </c>
      <c r="AG41" s="37">
        <f t="shared" si="3"/>
        <v>7</v>
      </c>
    </row>
    <row r="42" spans="1:33" ht="15" customHeight="1" x14ac:dyDescent="0.35">
      <c r="B42" s="28"/>
      <c r="D42" s="1" t="s">
        <v>1630</v>
      </c>
      <c r="E42" s="6" t="s">
        <v>1627</v>
      </c>
      <c r="F42" s="87" t="s">
        <v>1713</v>
      </c>
      <c r="L42" s="91"/>
      <c r="M42" s="80"/>
      <c r="N42" s="80"/>
      <c r="O42" s="80"/>
      <c r="P42" s="92"/>
      <c r="V42" s="91"/>
      <c r="W42" s="80"/>
      <c r="X42" s="80"/>
      <c r="Y42" s="80"/>
      <c r="Z42" s="92"/>
      <c r="AA42" s="1">
        <v>4</v>
      </c>
      <c r="AC42" s="1">
        <v>8</v>
      </c>
      <c r="AD42" s="1">
        <v>20</v>
      </c>
      <c r="AE42" s="37">
        <v>14</v>
      </c>
      <c r="AF42" s="28">
        <f t="shared" si="2"/>
        <v>46</v>
      </c>
      <c r="AG42" s="37">
        <f t="shared" si="3"/>
        <v>4</v>
      </c>
    </row>
    <row r="43" spans="1:33" ht="15" customHeight="1" x14ac:dyDescent="0.35">
      <c r="B43" s="28"/>
      <c r="D43" s="1" t="s">
        <v>1631</v>
      </c>
      <c r="E43" s="6" t="s">
        <v>1628</v>
      </c>
      <c r="F43" s="87" t="s">
        <v>1714</v>
      </c>
      <c r="G43" s="1">
        <v>30</v>
      </c>
      <c r="H43" s="1">
        <v>19</v>
      </c>
      <c r="I43" s="1">
        <v>25</v>
      </c>
      <c r="L43" s="91">
        <v>17</v>
      </c>
      <c r="M43" s="80">
        <v>48</v>
      </c>
      <c r="N43" s="80"/>
      <c r="O43" s="80">
        <v>10</v>
      </c>
      <c r="P43" s="92">
        <v>78</v>
      </c>
      <c r="Q43" s="1">
        <v>78</v>
      </c>
      <c r="R43" s="1">
        <v>142</v>
      </c>
      <c r="S43" s="1">
        <v>104</v>
      </c>
      <c r="T43" s="1">
        <v>117</v>
      </c>
      <c r="U43" s="1">
        <v>175</v>
      </c>
      <c r="V43" s="91">
        <v>66</v>
      </c>
      <c r="W43" s="80">
        <v>114</v>
      </c>
      <c r="X43" s="80">
        <v>32</v>
      </c>
      <c r="Y43" s="80">
        <v>44</v>
      </c>
      <c r="Z43" s="92">
        <v>40</v>
      </c>
      <c r="AA43" s="1">
        <v>19</v>
      </c>
      <c r="AB43" s="1">
        <v>7</v>
      </c>
      <c r="AC43" s="1">
        <v>24</v>
      </c>
      <c r="AD43" s="1">
        <v>33</v>
      </c>
      <c r="AE43" s="37">
        <v>21</v>
      </c>
      <c r="AF43" s="28">
        <f t="shared" si="2"/>
        <v>1243</v>
      </c>
      <c r="AG43" s="37">
        <f t="shared" si="3"/>
        <v>22</v>
      </c>
    </row>
    <row r="44" spans="1:33" ht="15" customHeight="1" x14ac:dyDescent="0.35">
      <c r="B44" s="28"/>
      <c r="D44" s="1" t="s">
        <v>1632</v>
      </c>
      <c r="E44" s="6" t="s">
        <v>1629</v>
      </c>
      <c r="F44" s="87" t="s">
        <v>1715</v>
      </c>
      <c r="L44" s="91"/>
      <c r="M44" s="80"/>
      <c r="N44" s="80"/>
      <c r="O44" s="80">
        <v>19</v>
      </c>
      <c r="P44" s="92">
        <v>90</v>
      </c>
      <c r="Q44" s="1">
        <v>84</v>
      </c>
      <c r="S44" s="1">
        <v>35</v>
      </c>
      <c r="T44" s="1">
        <v>43</v>
      </c>
      <c r="V44" s="91"/>
      <c r="W44" s="80"/>
      <c r="X44" s="80"/>
      <c r="Y44" s="80"/>
      <c r="Z44" s="92"/>
      <c r="AE44" s="37"/>
      <c r="AF44" s="28">
        <f t="shared" si="2"/>
        <v>271</v>
      </c>
      <c r="AG44" s="37">
        <f t="shared" si="3"/>
        <v>5</v>
      </c>
    </row>
    <row r="45" spans="1:33" ht="15" customHeight="1" x14ac:dyDescent="0.35">
      <c r="A45" s="1">
        <v>1</v>
      </c>
      <c r="B45" s="28"/>
      <c r="D45" s="1" t="s">
        <v>1634</v>
      </c>
      <c r="E45" s="6" t="s">
        <v>1633</v>
      </c>
      <c r="F45" s="87" t="s">
        <v>1716</v>
      </c>
      <c r="G45" s="1">
        <v>81</v>
      </c>
      <c r="H45" s="1">
        <v>43</v>
      </c>
      <c r="I45" s="1">
        <v>71</v>
      </c>
      <c r="J45" s="1">
        <v>10</v>
      </c>
      <c r="L45" s="91">
        <v>15</v>
      </c>
      <c r="M45" s="80"/>
      <c r="N45" s="80"/>
      <c r="O45" s="80">
        <v>55</v>
      </c>
      <c r="P45" s="92"/>
      <c r="V45" s="91"/>
      <c r="W45" s="80">
        <v>40</v>
      </c>
      <c r="X45" s="80"/>
      <c r="Y45" s="80"/>
      <c r="Z45" s="92">
        <v>29</v>
      </c>
      <c r="AB45" s="1">
        <v>3</v>
      </c>
      <c r="AE45" s="37"/>
      <c r="AF45" s="28">
        <f t="shared" si="2"/>
        <v>347</v>
      </c>
      <c r="AG45" s="37">
        <f t="shared" si="3"/>
        <v>9</v>
      </c>
    </row>
    <row r="46" spans="1:33" ht="15" customHeight="1" x14ac:dyDescent="0.35">
      <c r="B46" s="28"/>
      <c r="E46" s="6" t="s">
        <v>1572</v>
      </c>
      <c r="F46" s="87" t="s">
        <v>1717</v>
      </c>
      <c r="H46" s="1">
        <v>10</v>
      </c>
      <c r="L46" s="91"/>
      <c r="M46" s="80"/>
      <c r="N46" s="80"/>
      <c r="O46" s="80"/>
      <c r="P46" s="92">
        <v>25</v>
      </c>
      <c r="V46" s="91"/>
      <c r="W46" s="80"/>
      <c r="X46" s="80"/>
      <c r="Y46" s="80"/>
      <c r="Z46" s="92"/>
      <c r="AD46" s="1">
        <v>6</v>
      </c>
      <c r="AE46" s="37"/>
      <c r="AF46" s="28">
        <f t="shared" si="2"/>
        <v>41</v>
      </c>
      <c r="AG46" s="37">
        <f t="shared" si="3"/>
        <v>3</v>
      </c>
    </row>
    <row r="47" spans="1:33" ht="15" customHeight="1" x14ac:dyDescent="0.35">
      <c r="B47" s="28"/>
      <c r="E47" s="6" t="s">
        <v>1573</v>
      </c>
      <c r="F47" s="87" t="s">
        <v>1718</v>
      </c>
      <c r="L47" s="91">
        <v>139</v>
      </c>
      <c r="M47" s="80">
        <v>89</v>
      </c>
      <c r="N47" s="80">
        <v>36</v>
      </c>
      <c r="O47" s="80">
        <v>59</v>
      </c>
      <c r="P47" s="92">
        <v>92</v>
      </c>
      <c r="Q47" s="1">
        <v>86</v>
      </c>
      <c r="R47" s="1">
        <v>30</v>
      </c>
      <c r="S47" s="1">
        <v>75</v>
      </c>
      <c r="T47" s="1">
        <v>96</v>
      </c>
      <c r="U47" s="1">
        <v>20</v>
      </c>
      <c r="V47" s="91">
        <v>58</v>
      </c>
      <c r="W47" s="80">
        <v>29</v>
      </c>
      <c r="X47" s="80">
        <v>60</v>
      </c>
      <c r="Y47" s="80">
        <v>48</v>
      </c>
      <c r="Z47" s="92">
        <v>53</v>
      </c>
      <c r="AA47" s="1">
        <v>14</v>
      </c>
      <c r="AB47" s="1">
        <v>43</v>
      </c>
      <c r="AC47" s="1">
        <v>15</v>
      </c>
      <c r="AD47" s="1">
        <v>68</v>
      </c>
      <c r="AE47" s="37">
        <v>21</v>
      </c>
      <c r="AF47" s="28">
        <f t="shared" si="2"/>
        <v>1131</v>
      </c>
      <c r="AG47" s="37">
        <f t="shared" si="3"/>
        <v>20</v>
      </c>
    </row>
    <row r="48" spans="1:33" ht="15" customHeight="1" x14ac:dyDescent="0.35">
      <c r="B48" s="28"/>
      <c r="C48" s="1" t="s">
        <v>1680</v>
      </c>
      <c r="D48" s="1" t="s">
        <v>1637</v>
      </c>
      <c r="E48" s="6" t="s">
        <v>1635</v>
      </c>
      <c r="F48" s="87" t="s">
        <v>1719</v>
      </c>
      <c r="I48" s="1">
        <v>22</v>
      </c>
      <c r="J48" s="1">
        <v>30</v>
      </c>
      <c r="K48" s="1">
        <v>32</v>
      </c>
      <c r="L48" s="91">
        <v>15</v>
      </c>
      <c r="M48" s="80">
        <v>38</v>
      </c>
      <c r="N48" s="80">
        <v>59</v>
      </c>
      <c r="O48" s="80">
        <v>86</v>
      </c>
      <c r="P48" s="92">
        <v>98</v>
      </c>
      <c r="Q48" s="1">
        <v>42</v>
      </c>
      <c r="S48" s="1">
        <v>63</v>
      </c>
      <c r="T48" s="1">
        <v>98</v>
      </c>
      <c r="U48" s="1">
        <v>39</v>
      </c>
      <c r="V48" s="91"/>
      <c r="W48" s="80"/>
      <c r="X48" s="80"/>
      <c r="Y48" s="80"/>
      <c r="Z48" s="92">
        <v>24</v>
      </c>
      <c r="AA48" s="1">
        <v>17</v>
      </c>
      <c r="AB48" s="1">
        <v>56</v>
      </c>
      <c r="AD48" s="1">
        <v>7</v>
      </c>
      <c r="AE48" s="37"/>
      <c r="AF48" s="28">
        <f t="shared" si="2"/>
        <v>726</v>
      </c>
      <c r="AG48" s="37">
        <f t="shared" si="3"/>
        <v>16</v>
      </c>
    </row>
    <row r="49" spans="2:33" ht="15" customHeight="1" x14ac:dyDescent="0.35">
      <c r="B49" s="28"/>
      <c r="E49" s="6" t="s">
        <v>1636</v>
      </c>
      <c r="F49" s="87" t="s">
        <v>1728</v>
      </c>
      <c r="L49" s="91"/>
      <c r="M49" s="80"/>
      <c r="N49" s="80"/>
      <c r="O49" s="80"/>
      <c r="P49" s="92"/>
      <c r="R49" s="1">
        <v>23</v>
      </c>
      <c r="U49" s="1">
        <v>37</v>
      </c>
      <c r="V49" s="91"/>
      <c r="W49" s="80"/>
      <c r="X49" s="80"/>
      <c r="Y49" s="80"/>
      <c r="Z49" s="92">
        <v>17</v>
      </c>
      <c r="AA49" s="1">
        <v>6</v>
      </c>
      <c r="AB49" s="1">
        <v>10</v>
      </c>
      <c r="AE49" s="37"/>
      <c r="AF49" s="28">
        <f t="shared" si="2"/>
        <v>93</v>
      </c>
      <c r="AG49" s="37">
        <f t="shared" si="3"/>
        <v>5</v>
      </c>
    </row>
    <row r="50" spans="2:33" ht="15" customHeight="1" x14ac:dyDescent="0.35">
      <c r="B50" s="28"/>
      <c r="C50" s="1" t="s">
        <v>1681</v>
      </c>
      <c r="D50" s="1" t="s">
        <v>1638</v>
      </c>
      <c r="E50" s="6" t="s">
        <v>1574</v>
      </c>
      <c r="F50" s="87" t="s">
        <v>1720</v>
      </c>
      <c r="H50" s="1">
        <v>23</v>
      </c>
      <c r="I50" s="1">
        <v>8</v>
      </c>
      <c r="J50" s="1">
        <v>15</v>
      </c>
      <c r="K50" s="1">
        <v>10</v>
      </c>
      <c r="L50" s="91">
        <v>141</v>
      </c>
      <c r="M50" s="80">
        <v>136</v>
      </c>
      <c r="N50" s="80">
        <v>94</v>
      </c>
      <c r="O50" s="80">
        <v>69</v>
      </c>
      <c r="P50" s="92">
        <v>42</v>
      </c>
      <c r="Q50" s="1">
        <v>24</v>
      </c>
      <c r="S50" s="1">
        <v>27</v>
      </c>
      <c r="T50" s="1">
        <v>10</v>
      </c>
      <c r="V50" s="91">
        <v>4</v>
      </c>
      <c r="W50" s="80">
        <v>5</v>
      </c>
      <c r="X50" s="80">
        <v>6</v>
      </c>
      <c r="Y50" s="80">
        <v>10</v>
      </c>
      <c r="Z50" s="92">
        <v>32</v>
      </c>
      <c r="AA50" s="1">
        <v>1</v>
      </c>
      <c r="AB50" s="1">
        <v>10</v>
      </c>
      <c r="AD50" s="1">
        <v>2</v>
      </c>
      <c r="AE50" s="37"/>
      <c r="AF50" s="28">
        <f t="shared" si="2"/>
        <v>669</v>
      </c>
      <c r="AG50" s="37">
        <f t="shared" si="3"/>
        <v>20</v>
      </c>
    </row>
    <row r="51" spans="2:33" ht="15" customHeight="1" x14ac:dyDescent="0.35">
      <c r="B51" s="28"/>
      <c r="E51" s="6" t="s">
        <v>1781</v>
      </c>
      <c r="F51" s="87" t="s">
        <v>1721</v>
      </c>
      <c r="G51" s="1">
        <v>51</v>
      </c>
      <c r="H51" s="1">
        <v>46</v>
      </c>
      <c r="I51" s="1">
        <v>67</v>
      </c>
      <c r="J51" s="1">
        <v>63</v>
      </c>
      <c r="K51" s="1">
        <v>63</v>
      </c>
      <c r="L51" s="91">
        <v>147</v>
      </c>
      <c r="M51" s="80">
        <v>134</v>
      </c>
      <c r="N51" s="80">
        <v>30</v>
      </c>
      <c r="O51" s="80">
        <v>71</v>
      </c>
      <c r="P51" s="92">
        <v>112</v>
      </c>
      <c r="Q51" s="1">
        <v>53</v>
      </c>
      <c r="R51" s="1">
        <v>53</v>
      </c>
      <c r="S51" s="1">
        <v>26</v>
      </c>
      <c r="T51" s="1">
        <v>81</v>
      </c>
      <c r="U51" s="1">
        <v>127</v>
      </c>
      <c r="V51" s="91">
        <v>31</v>
      </c>
      <c r="W51" s="80">
        <v>60</v>
      </c>
      <c r="X51" s="80">
        <v>27</v>
      </c>
      <c r="Y51" s="80">
        <v>46</v>
      </c>
      <c r="Z51" s="92">
        <v>38</v>
      </c>
      <c r="AB51" s="1">
        <v>27</v>
      </c>
      <c r="AD51" s="1">
        <v>28</v>
      </c>
      <c r="AE51" s="37">
        <v>13</v>
      </c>
      <c r="AF51" s="28">
        <f t="shared" si="2"/>
        <v>1394</v>
      </c>
      <c r="AG51" s="37">
        <f t="shared" si="3"/>
        <v>23</v>
      </c>
    </row>
    <row r="52" spans="2:33" ht="15" customHeight="1" thickBot="1" x14ac:dyDescent="0.4">
      <c r="B52" s="29"/>
      <c r="C52" s="39"/>
      <c r="D52" s="39"/>
      <c r="E52" s="40" t="s">
        <v>1576</v>
      </c>
      <c r="F52" s="88" t="s">
        <v>1729</v>
      </c>
      <c r="G52" s="39"/>
      <c r="H52" s="39"/>
      <c r="I52" s="39"/>
      <c r="J52" s="39"/>
      <c r="K52" s="39"/>
      <c r="L52" s="93"/>
      <c r="M52" s="85"/>
      <c r="N52" s="85"/>
      <c r="O52" s="85"/>
      <c r="P52" s="94"/>
      <c r="Q52" s="39"/>
      <c r="R52" s="39"/>
      <c r="S52" s="39"/>
      <c r="T52" s="39">
        <v>130</v>
      </c>
      <c r="U52" s="39">
        <v>25</v>
      </c>
      <c r="V52" s="93"/>
      <c r="W52" s="85">
        <v>50</v>
      </c>
      <c r="X52" s="85">
        <v>13</v>
      </c>
      <c r="Y52" s="85">
        <v>22</v>
      </c>
      <c r="Z52" s="94">
        <v>17</v>
      </c>
      <c r="AA52" s="39"/>
      <c r="AB52" s="39">
        <v>17</v>
      </c>
      <c r="AC52" s="39"/>
      <c r="AD52" s="39">
        <v>16</v>
      </c>
      <c r="AE52" s="51">
        <v>10</v>
      </c>
      <c r="AF52" s="29">
        <f t="shared" si="2"/>
        <v>300</v>
      </c>
      <c r="AG52" s="51">
        <f t="shared" si="3"/>
        <v>9</v>
      </c>
    </row>
    <row r="53" spans="2:33" ht="15" customHeight="1" thickBot="1" x14ac:dyDescent="0.4">
      <c r="G53" s="1" t="s">
        <v>0</v>
      </c>
      <c r="H53" s="1" t="s">
        <v>1</v>
      </c>
      <c r="I53" s="1" t="s">
        <v>2</v>
      </c>
      <c r="J53" s="1" t="s">
        <v>3</v>
      </c>
      <c r="K53" s="1" t="s">
        <v>4</v>
      </c>
      <c r="L53" s="89" t="s">
        <v>5</v>
      </c>
      <c r="M53" s="79" t="s">
        <v>6</v>
      </c>
      <c r="N53" s="79" t="s">
        <v>7</v>
      </c>
      <c r="O53" s="79" t="s">
        <v>8</v>
      </c>
      <c r="P53" s="90" t="s">
        <v>9</v>
      </c>
      <c r="Q53" s="1" t="s">
        <v>10</v>
      </c>
      <c r="R53" s="1" t="s">
        <v>11</v>
      </c>
      <c r="S53" s="1" t="s">
        <v>12</v>
      </c>
      <c r="T53" s="1" t="s">
        <v>13</v>
      </c>
      <c r="U53" s="1" t="s">
        <v>14</v>
      </c>
      <c r="V53" s="91" t="s">
        <v>17</v>
      </c>
      <c r="W53" s="80" t="s">
        <v>16</v>
      </c>
      <c r="X53" s="80" t="s">
        <v>15</v>
      </c>
      <c r="Y53" s="80" t="s">
        <v>18</v>
      </c>
      <c r="Z53" s="92" t="s">
        <v>19</v>
      </c>
      <c r="AA53" s="1" t="s">
        <v>20</v>
      </c>
      <c r="AB53" s="1" t="s">
        <v>21</v>
      </c>
      <c r="AC53" s="1" t="s">
        <v>22</v>
      </c>
      <c r="AD53" s="1" t="s">
        <v>23</v>
      </c>
      <c r="AE53" s="1" t="s">
        <v>24</v>
      </c>
    </row>
    <row r="54" spans="2:33" ht="15" customHeight="1" x14ac:dyDescent="0.35">
      <c r="F54" s="30" t="s">
        <v>1733</v>
      </c>
      <c r="G54" s="32">
        <f t="shared" ref="G54:AF54" si="4">SUM(G4:G52)</f>
        <v>183</v>
      </c>
      <c r="H54" s="32">
        <f t="shared" si="4"/>
        <v>211</v>
      </c>
      <c r="I54" s="32">
        <f t="shared" si="4"/>
        <v>246</v>
      </c>
      <c r="J54" s="32">
        <f t="shared" si="4"/>
        <v>249</v>
      </c>
      <c r="K54" s="32">
        <f t="shared" si="4"/>
        <v>237</v>
      </c>
      <c r="L54" s="89">
        <f t="shared" si="4"/>
        <v>1222</v>
      </c>
      <c r="M54" s="79">
        <f t="shared" si="4"/>
        <v>1104</v>
      </c>
      <c r="N54" s="79">
        <f t="shared" si="4"/>
        <v>1042</v>
      </c>
      <c r="O54" s="79">
        <f t="shared" si="4"/>
        <v>816</v>
      </c>
      <c r="P54" s="90">
        <f t="shared" si="4"/>
        <v>1160</v>
      </c>
      <c r="Q54" s="32">
        <f t="shared" si="4"/>
        <v>511</v>
      </c>
      <c r="R54" s="32">
        <f t="shared" si="4"/>
        <v>550</v>
      </c>
      <c r="S54" s="32">
        <f t="shared" si="4"/>
        <v>573</v>
      </c>
      <c r="T54" s="32">
        <f t="shared" si="4"/>
        <v>883</v>
      </c>
      <c r="U54" s="32">
        <f t="shared" si="4"/>
        <v>799</v>
      </c>
      <c r="V54" s="89">
        <f t="shared" si="4"/>
        <v>449</v>
      </c>
      <c r="W54" s="79">
        <f t="shared" si="4"/>
        <v>710</v>
      </c>
      <c r="X54" s="79">
        <f t="shared" si="4"/>
        <v>545</v>
      </c>
      <c r="Y54" s="79">
        <f t="shared" si="4"/>
        <v>716</v>
      </c>
      <c r="Z54" s="90">
        <f t="shared" si="4"/>
        <v>603</v>
      </c>
      <c r="AA54" s="32">
        <f t="shared" si="4"/>
        <v>295</v>
      </c>
      <c r="AB54" s="32">
        <f t="shared" si="4"/>
        <v>544</v>
      </c>
      <c r="AC54" s="32">
        <f t="shared" si="4"/>
        <v>278</v>
      </c>
      <c r="AD54" s="32">
        <f t="shared" si="4"/>
        <v>471</v>
      </c>
      <c r="AE54" s="76">
        <f t="shared" si="4"/>
        <v>243</v>
      </c>
      <c r="AF54" s="1">
        <f t="shared" si="4"/>
        <v>14640</v>
      </c>
    </row>
    <row r="55" spans="2:33" ht="15" customHeight="1" thickBot="1" x14ac:dyDescent="0.4">
      <c r="F55" s="29" t="s">
        <v>1734</v>
      </c>
      <c r="G55" s="39">
        <f>COUNT(G4:G52)</f>
        <v>7</v>
      </c>
      <c r="H55" s="39">
        <f t="shared" ref="H55:AE55" si="5">COUNT(H4:H52)</f>
        <v>9</v>
      </c>
      <c r="I55" s="39">
        <f t="shared" si="5"/>
        <v>9</v>
      </c>
      <c r="J55" s="39">
        <f t="shared" si="5"/>
        <v>9</v>
      </c>
      <c r="K55" s="39">
        <f t="shared" si="5"/>
        <v>11</v>
      </c>
      <c r="L55" s="93">
        <f t="shared" si="5"/>
        <v>19</v>
      </c>
      <c r="M55" s="85">
        <f t="shared" si="5"/>
        <v>19</v>
      </c>
      <c r="N55" s="85">
        <f t="shared" si="5"/>
        <v>20</v>
      </c>
      <c r="O55" s="85">
        <f t="shared" si="5"/>
        <v>17</v>
      </c>
      <c r="P55" s="94">
        <f t="shared" si="5"/>
        <v>18</v>
      </c>
      <c r="Q55" s="39">
        <f t="shared" si="5"/>
        <v>13</v>
      </c>
      <c r="R55" s="39">
        <f t="shared" si="5"/>
        <v>16</v>
      </c>
      <c r="S55" s="39">
        <f t="shared" si="5"/>
        <v>12</v>
      </c>
      <c r="T55" s="39">
        <f t="shared" si="5"/>
        <v>16</v>
      </c>
      <c r="U55" s="39">
        <f t="shared" si="5"/>
        <v>17</v>
      </c>
      <c r="V55" s="93">
        <f t="shared" si="5"/>
        <v>20</v>
      </c>
      <c r="W55" s="85">
        <f t="shared" si="5"/>
        <v>23</v>
      </c>
      <c r="X55" s="85">
        <f t="shared" si="5"/>
        <v>21</v>
      </c>
      <c r="Y55" s="85">
        <f t="shared" si="5"/>
        <v>23</v>
      </c>
      <c r="Z55" s="94">
        <f t="shared" si="5"/>
        <v>22</v>
      </c>
      <c r="AA55" s="39">
        <f t="shared" si="5"/>
        <v>20</v>
      </c>
      <c r="AB55" s="39">
        <f t="shared" si="5"/>
        <v>24</v>
      </c>
      <c r="AC55" s="39">
        <f t="shared" si="5"/>
        <v>19</v>
      </c>
      <c r="AD55" s="39">
        <f t="shared" si="5"/>
        <v>22</v>
      </c>
      <c r="AE55" s="51">
        <f t="shared" si="5"/>
        <v>17</v>
      </c>
    </row>
    <row r="57" spans="2:33" ht="15" customHeight="1" x14ac:dyDescent="0.35">
      <c r="B57" s="129" t="s">
        <v>1985</v>
      </c>
    </row>
    <row r="58" spans="2:33" ht="15" customHeight="1" x14ac:dyDescent="0.35">
      <c r="B58" s="180" t="s">
        <v>1988</v>
      </c>
      <c r="C58" s="180"/>
      <c r="D58" s="180"/>
      <c r="E58" s="180"/>
      <c r="F58" s="180"/>
      <c r="G58" s="180"/>
      <c r="H58" s="180"/>
      <c r="I58" s="180"/>
      <c r="J58" s="180"/>
      <c r="K58" s="180"/>
      <c r="L58" s="180"/>
      <c r="M58" s="180"/>
      <c r="N58" s="180"/>
      <c r="O58" s="180"/>
      <c r="P58" s="180"/>
    </row>
    <row r="59" spans="2:33" ht="15" customHeight="1" x14ac:dyDescent="0.35">
      <c r="B59" s="180"/>
      <c r="C59" s="180"/>
      <c r="D59" s="180"/>
      <c r="E59" s="180"/>
      <c r="F59" s="180"/>
      <c r="G59" s="180"/>
      <c r="H59" s="180"/>
      <c r="I59" s="180"/>
      <c r="J59" s="180"/>
      <c r="K59" s="180"/>
      <c r="L59" s="180"/>
      <c r="M59" s="180"/>
      <c r="N59" s="180"/>
      <c r="O59" s="180"/>
      <c r="P59" s="180"/>
    </row>
    <row r="60" spans="2:33" ht="15" customHeight="1" x14ac:dyDescent="0.35">
      <c r="B60" s="180"/>
      <c r="C60" s="180"/>
      <c r="D60" s="180"/>
      <c r="E60" s="180"/>
      <c r="F60" s="180"/>
      <c r="G60" s="180"/>
      <c r="H60" s="180"/>
      <c r="I60" s="180"/>
      <c r="J60" s="180"/>
      <c r="K60" s="180"/>
      <c r="L60" s="180"/>
      <c r="M60" s="180"/>
      <c r="N60" s="180"/>
      <c r="O60" s="180"/>
      <c r="P60" s="180"/>
    </row>
    <row r="61" spans="2:33" ht="15" customHeight="1" x14ac:dyDescent="0.35">
      <c r="B61" s="180"/>
      <c r="C61" s="180"/>
      <c r="D61" s="180"/>
      <c r="E61" s="180"/>
      <c r="F61" s="180"/>
      <c r="G61" s="180"/>
      <c r="H61" s="180"/>
      <c r="I61" s="180"/>
      <c r="J61" s="180"/>
      <c r="K61" s="180"/>
      <c r="L61" s="180"/>
      <c r="M61" s="180"/>
      <c r="N61" s="180"/>
      <c r="O61" s="180"/>
      <c r="P61" s="180"/>
    </row>
    <row r="62" spans="2:33" ht="15" customHeight="1" x14ac:dyDescent="0.35">
      <c r="B62" s="180"/>
      <c r="C62" s="180"/>
      <c r="D62" s="180"/>
      <c r="E62" s="180"/>
      <c r="F62" s="180"/>
      <c r="G62" s="180"/>
      <c r="H62" s="180"/>
      <c r="I62" s="180"/>
      <c r="J62" s="180"/>
      <c r="K62" s="180"/>
      <c r="L62" s="180"/>
      <c r="M62" s="180"/>
      <c r="N62" s="180"/>
      <c r="O62" s="180"/>
      <c r="P62" s="180"/>
    </row>
    <row r="63" spans="2:33" ht="15" customHeight="1" x14ac:dyDescent="0.35">
      <c r="B63" s="180"/>
      <c r="C63" s="180"/>
      <c r="D63" s="180"/>
      <c r="E63" s="180"/>
      <c r="F63" s="180"/>
      <c r="G63" s="180"/>
      <c r="H63" s="180"/>
      <c r="I63" s="180"/>
      <c r="J63" s="180"/>
      <c r="K63" s="180"/>
      <c r="L63" s="180"/>
      <c r="M63" s="180"/>
      <c r="N63" s="180"/>
      <c r="O63" s="180"/>
      <c r="P63" s="180"/>
    </row>
    <row r="64" spans="2:33" ht="15" customHeight="1" x14ac:dyDescent="0.35">
      <c r="B64" s="180"/>
      <c r="C64" s="180"/>
      <c r="D64" s="180"/>
      <c r="E64" s="180"/>
      <c r="F64" s="180"/>
      <c r="G64" s="180"/>
      <c r="H64" s="180"/>
      <c r="I64" s="180"/>
      <c r="J64" s="180"/>
      <c r="K64" s="180"/>
      <c r="L64" s="180"/>
      <c r="M64" s="180"/>
      <c r="N64" s="180"/>
      <c r="O64" s="180"/>
      <c r="P64" s="180"/>
    </row>
    <row r="65" spans="2:16" ht="15" customHeight="1" x14ac:dyDescent="0.35">
      <c r="B65" s="180"/>
      <c r="C65" s="180"/>
      <c r="D65" s="180"/>
      <c r="E65" s="180"/>
      <c r="F65" s="180"/>
      <c r="G65" s="180"/>
      <c r="H65" s="180"/>
      <c r="I65" s="180"/>
      <c r="J65" s="180"/>
      <c r="K65" s="180"/>
      <c r="L65" s="180"/>
      <c r="M65" s="180"/>
      <c r="N65" s="180"/>
      <c r="O65" s="180"/>
      <c r="P65" s="180"/>
    </row>
    <row r="66" spans="2:16" ht="15" customHeight="1" x14ac:dyDescent="0.35">
      <c r="B66" s="180"/>
      <c r="C66" s="180"/>
      <c r="D66" s="180"/>
      <c r="E66" s="180"/>
      <c r="F66" s="180"/>
      <c r="G66" s="180"/>
      <c r="H66" s="180"/>
      <c r="I66" s="180"/>
      <c r="J66" s="180"/>
      <c r="K66" s="180"/>
      <c r="L66" s="180"/>
      <c r="M66" s="180"/>
      <c r="N66" s="180"/>
      <c r="O66" s="180"/>
      <c r="P66" s="180"/>
    </row>
    <row r="67" spans="2:16" ht="15" customHeight="1" x14ac:dyDescent="0.35">
      <c r="B67" s="180"/>
      <c r="C67" s="180"/>
      <c r="D67" s="180"/>
      <c r="E67" s="180"/>
      <c r="F67" s="180"/>
      <c r="G67" s="180"/>
      <c r="H67" s="180"/>
      <c r="I67" s="180"/>
      <c r="J67" s="180"/>
      <c r="K67" s="180"/>
      <c r="L67" s="180"/>
      <c r="M67" s="180"/>
      <c r="N67" s="180"/>
      <c r="O67" s="180"/>
      <c r="P67" s="180"/>
    </row>
    <row r="68" spans="2:16" ht="15" customHeight="1" x14ac:dyDescent="0.35">
      <c r="B68" s="180"/>
      <c r="C68" s="180"/>
      <c r="D68" s="180"/>
      <c r="E68" s="180"/>
      <c r="F68" s="180"/>
      <c r="G68" s="180"/>
      <c r="H68" s="180"/>
      <c r="I68" s="180"/>
      <c r="J68" s="180"/>
      <c r="K68" s="180"/>
      <c r="L68" s="180"/>
      <c r="M68" s="180"/>
      <c r="N68" s="180"/>
      <c r="O68" s="180"/>
      <c r="P68" s="180"/>
    </row>
  </sheetData>
  <mergeCells count="2">
    <mergeCell ref="B2:AG2"/>
    <mergeCell ref="B58:P68"/>
  </mergeCells>
  <phoneticPr fontId="2"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D4F9-13BB-42B9-B220-CBC49C123F9C}">
  <dimension ref="B2:J69"/>
  <sheetViews>
    <sheetView zoomScaleNormal="100" workbookViewId="0">
      <pane xSplit="1" ySplit="3" topLeftCell="B4" activePane="bottomRight" state="frozen"/>
      <selection pane="topRight" activeCell="B1" sqref="B1"/>
      <selection pane="bottomLeft" activeCell="A4" sqref="A4"/>
      <selection pane="bottomRight" activeCell="B55" sqref="B55:J69"/>
    </sheetView>
  </sheetViews>
  <sheetFormatPr defaultRowHeight="15" customHeight="1" x14ac:dyDescent="0.35"/>
  <cols>
    <col min="1" max="1" width="4.640625" style="1" customWidth="1"/>
    <col min="2" max="2" width="17.85546875" style="1" customWidth="1"/>
    <col min="3" max="4" width="11.0703125" style="1" customWidth="1"/>
    <col min="5" max="5" width="12.7109375" style="1" customWidth="1"/>
    <col min="6" max="6" width="12.2109375" style="1" customWidth="1"/>
    <col min="7" max="7" width="17.85546875" style="1" customWidth="1"/>
    <col min="8" max="8" width="8.140625" style="1" customWidth="1"/>
    <col min="9" max="9" width="11.28515625" style="1" customWidth="1"/>
    <col min="10" max="10" width="17.92578125" style="1" customWidth="1"/>
    <col min="11" max="16384" width="9.140625" style="1"/>
  </cols>
  <sheetData>
    <row r="2" spans="2:10" ht="25" customHeight="1" thickBot="1" x14ac:dyDescent="0.4">
      <c r="B2" s="168" t="s">
        <v>1987</v>
      </c>
      <c r="C2" s="167"/>
      <c r="D2" s="167"/>
      <c r="E2" s="167"/>
      <c r="F2" s="167"/>
      <c r="G2" s="167"/>
      <c r="H2" s="167"/>
      <c r="I2" s="167"/>
      <c r="J2" s="167"/>
    </row>
    <row r="3" spans="2:10" s="3" customFormat="1" ht="35.049999999999997" customHeight="1" thickBot="1" x14ac:dyDescent="0.4">
      <c r="B3" s="165" t="s">
        <v>900</v>
      </c>
      <c r="C3" s="106" t="s">
        <v>1980</v>
      </c>
      <c r="D3" s="106" t="s">
        <v>1979</v>
      </c>
      <c r="E3" s="106" t="s">
        <v>1973</v>
      </c>
      <c r="F3" s="106" t="s">
        <v>1974</v>
      </c>
      <c r="G3" s="106" t="s">
        <v>1975</v>
      </c>
      <c r="H3" s="106" t="s">
        <v>1976</v>
      </c>
      <c r="I3" s="106" t="s">
        <v>1977</v>
      </c>
      <c r="J3" s="107" t="s">
        <v>1978</v>
      </c>
    </row>
    <row r="4" spans="2:10" ht="15" customHeight="1" x14ac:dyDescent="0.35">
      <c r="B4" s="166" t="s">
        <v>1577</v>
      </c>
      <c r="C4" s="99">
        <v>401.2</v>
      </c>
      <c r="D4" s="99">
        <v>176.2</v>
      </c>
      <c r="E4" s="1">
        <v>2</v>
      </c>
      <c r="F4" s="1">
        <v>1</v>
      </c>
      <c r="G4" s="12" t="s">
        <v>1483</v>
      </c>
      <c r="H4" s="1">
        <v>1</v>
      </c>
      <c r="I4" s="1">
        <v>3</v>
      </c>
      <c r="J4" s="96" t="s">
        <v>1484</v>
      </c>
    </row>
    <row r="5" spans="2:10" ht="15" customHeight="1" x14ac:dyDescent="0.35">
      <c r="B5" s="95" t="s">
        <v>1561</v>
      </c>
      <c r="C5" s="99">
        <v>325.64</v>
      </c>
      <c r="D5" s="99">
        <v>157.63999999999999</v>
      </c>
      <c r="E5" s="1">
        <v>2</v>
      </c>
      <c r="F5" s="1">
        <v>1</v>
      </c>
      <c r="G5" s="12" t="s">
        <v>561</v>
      </c>
      <c r="H5" s="1">
        <v>1</v>
      </c>
      <c r="I5" s="1">
        <v>3</v>
      </c>
      <c r="J5" s="37" t="s">
        <v>1485</v>
      </c>
    </row>
    <row r="6" spans="2:10" ht="15" customHeight="1" x14ac:dyDescent="0.35">
      <c r="B6" s="95" t="s">
        <v>1562</v>
      </c>
      <c r="C6" s="99">
        <v>597.64</v>
      </c>
      <c r="D6" s="99">
        <v>328.45</v>
      </c>
      <c r="E6" s="1">
        <v>2</v>
      </c>
      <c r="F6" s="1">
        <v>1</v>
      </c>
      <c r="G6" s="12" t="s">
        <v>561</v>
      </c>
      <c r="H6" s="1">
        <v>1</v>
      </c>
      <c r="I6" s="1">
        <v>3</v>
      </c>
      <c r="J6" s="37" t="s">
        <v>1485</v>
      </c>
    </row>
    <row r="7" spans="2:10" ht="15" customHeight="1" x14ac:dyDescent="0.35">
      <c r="B7" s="95" t="s">
        <v>1563</v>
      </c>
      <c r="C7" s="99">
        <v>365.8</v>
      </c>
      <c r="D7" s="99">
        <v>195.6</v>
      </c>
      <c r="E7" s="1">
        <v>1</v>
      </c>
      <c r="F7" s="1">
        <v>1</v>
      </c>
      <c r="G7" s="12" t="s">
        <v>1483</v>
      </c>
      <c r="H7" s="1">
        <v>1</v>
      </c>
      <c r="I7" s="1">
        <v>3</v>
      </c>
      <c r="J7" s="37" t="s">
        <v>1486</v>
      </c>
    </row>
    <row r="8" spans="2:10" ht="15" customHeight="1" x14ac:dyDescent="0.35">
      <c r="B8" s="95" t="s">
        <v>1581</v>
      </c>
      <c r="C8" s="99">
        <v>814.86</v>
      </c>
      <c r="D8" s="99">
        <v>472.57</v>
      </c>
      <c r="E8" s="1">
        <v>2</v>
      </c>
      <c r="F8" s="1">
        <v>1</v>
      </c>
      <c r="G8" s="12" t="s">
        <v>561</v>
      </c>
      <c r="H8" s="1">
        <v>1</v>
      </c>
      <c r="I8" s="1">
        <v>2</v>
      </c>
      <c r="J8" s="96" t="s">
        <v>1484</v>
      </c>
    </row>
    <row r="9" spans="2:10" ht="15" customHeight="1" x14ac:dyDescent="0.35">
      <c r="B9" s="95" t="s">
        <v>1582</v>
      </c>
      <c r="C9" s="99">
        <v>422.46</v>
      </c>
      <c r="D9" s="99">
        <v>213.15</v>
      </c>
      <c r="E9" s="1">
        <v>2</v>
      </c>
      <c r="F9" s="1">
        <v>1</v>
      </c>
      <c r="G9" s="12" t="s">
        <v>561</v>
      </c>
      <c r="H9" s="1">
        <v>1</v>
      </c>
      <c r="I9" s="1">
        <v>2</v>
      </c>
      <c r="J9" s="96" t="s">
        <v>1484</v>
      </c>
    </row>
    <row r="10" spans="2:10" ht="15" customHeight="1" x14ac:dyDescent="0.35">
      <c r="B10" s="95" t="s">
        <v>1584</v>
      </c>
      <c r="C10" s="99">
        <v>515.5</v>
      </c>
      <c r="D10" s="99">
        <v>219.83</v>
      </c>
      <c r="E10" s="1">
        <v>1</v>
      </c>
      <c r="F10" s="1">
        <v>1</v>
      </c>
      <c r="G10" s="12" t="s">
        <v>561</v>
      </c>
      <c r="H10" s="1">
        <v>3</v>
      </c>
      <c r="I10" s="1">
        <v>2</v>
      </c>
      <c r="J10" s="37" t="s">
        <v>1486</v>
      </c>
    </row>
    <row r="11" spans="2:10" ht="15" customHeight="1" x14ac:dyDescent="0.35">
      <c r="B11" s="95" t="s">
        <v>1586</v>
      </c>
      <c r="C11" s="99">
        <v>384.67</v>
      </c>
      <c r="D11" s="99">
        <v>161.44</v>
      </c>
      <c r="E11" s="1">
        <v>2</v>
      </c>
      <c r="F11" s="1">
        <v>1</v>
      </c>
      <c r="G11" s="12" t="s">
        <v>561</v>
      </c>
      <c r="H11" s="1">
        <v>1</v>
      </c>
      <c r="I11" s="1">
        <v>2</v>
      </c>
      <c r="J11" s="37" t="s">
        <v>1486</v>
      </c>
    </row>
    <row r="12" spans="2:10" ht="15" customHeight="1" x14ac:dyDescent="0.35">
      <c r="B12" s="95" t="s">
        <v>1588</v>
      </c>
      <c r="C12" s="99">
        <v>670.62</v>
      </c>
      <c r="D12" s="99">
        <v>318.69</v>
      </c>
      <c r="E12" s="1">
        <v>2</v>
      </c>
      <c r="F12" s="1">
        <v>1</v>
      </c>
      <c r="G12" s="12" t="s">
        <v>561</v>
      </c>
      <c r="H12" s="1">
        <v>1</v>
      </c>
      <c r="I12" s="1">
        <v>2</v>
      </c>
      <c r="J12" s="96" t="s">
        <v>1484</v>
      </c>
    </row>
    <row r="13" spans="2:10" ht="15" customHeight="1" x14ac:dyDescent="0.35">
      <c r="B13" s="95" t="s">
        <v>1564</v>
      </c>
      <c r="C13" s="99">
        <v>699.25</v>
      </c>
      <c r="D13" s="99">
        <v>343.16</v>
      </c>
      <c r="E13" s="1">
        <v>2</v>
      </c>
      <c r="F13" s="1">
        <v>1</v>
      </c>
      <c r="G13" s="12" t="s">
        <v>561</v>
      </c>
      <c r="H13" s="1">
        <v>3</v>
      </c>
      <c r="I13" s="1">
        <v>2</v>
      </c>
      <c r="J13" s="96" t="s">
        <v>1484</v>
      </c>
    </row>
    <row r="14" spans="2:10" ht="15" customHeight="1" x14ac:dyDescent="0.35">
      <c r="B14" s="95" t="s">
        <v>1590</v>
      </c>
      <c r="C14" s="99">
        <v>739.29</v>
      </c>
      <c r="D14" s="99">
        <v>384.86</v>
      </c>
      <c r="E14" s="1">
        <v>2</v>
      </c>
      <c r="F14" s="1">
        <v>1</v>
      </c>
      <c r="G14" s="12" t="s">
        <v>561</v>
      </c>
      <c r="H14" s="1">
        <v>1</v>
      </c>
      <c r="I14" s="1">
        <v>3</v>
      </c>
      <c r="J14" s="96" t="s">
        <v>1484</v>
      </c>
    </row>
    <row r="15" spans="2:10" ht="15" customHeight="1" x14ac:dyDescent="0.35">
      <c r="B15" s="95" t="s">
        <v>1565</v>
      </c>
      <c r="C15" s="99">
        <v>622.4</v>
      </c>
      <c r="D15" s="100">
        <v>299.39999999999998</v>
      </c>
      <c r="E15" s="1">
        <v>2</v>
      </c>
      <c r="F15" s="1">
        <v>1</v>
      </c>
      <c r="G15" s="12" t="s">
        <v>561</v>
      </c>
      <c r="H15" s="1">
        <v>1</v>
      </c>
      <c r="I15" s="1">
        <v>3</v>
      </c>
      <c r="J15" s="96" t="s">
        <v>1484</v>
      </c>
    </row>
    <row r="16" spans="2:10" ht="15" customHeight="1" x14ac:dyDescent="0.35">
      <c r="B16" s="95" t="s">
        <v>1592</v>
      </c>
      <c r="C16" s="99">
        <v>659</v>
      </c>
      <c r="D16" s="99">
        <v>298.8</v>
      </c>
      <c r="E16" s="1">
        <v>3</v>
      </c>
      <c r="F16" s="1">
        <v>1</v>
      </c>
      <c r="G16" s="12" t="s">
        <v>1483</v>
      </c>
      <c r="H16" s="1">
        <v>3</v>
      </c>
      <c r="I16" s="1">
        <v>2</v>
      </c>
      <c r="J16" s="37" t="s">
        <v>319</v>
      </c>
    </row>
    <row r="17" spans="2:10" ht="15" customHeight="1" x14ac:dyDescent="0.35">
      <c r="B17" s="95" t="s">
        <v>1566</v>
      </c>
      <c r="C17" s="99">
        <v>474</v>
      </c>
      <c r="D17" s="99">
        <v>227.83</v>
      </c>
      <c r="E17" s="1">
        <v>3</v>
      </c>
      <c r="F17" s="1">
        <v>1</v>
      </c>
      <c r="G17" s="12" t="s">
        <v>1483</v>
      </c>
      <c r="H17" s="1">
        <v>1</v>
      </c>
      <c r="I17" s="1">
        <v>2</v>
      </c>
      <c r="J17" s="37" t="s">
        <v>1486</v>
      </c>
    </row>
    <row r="18" spans="2:10" ht="15" customHeight="1" x14ac:dyDescent="0.35">
      <c r="B18" s="95" t="s">
        <v>1567</v>
      </c>
      <c r="C18" s="99">
        <v>728.75</v>
      </c>
      <c r="D18" s="99">
        <v>394.12</v>
      </c>
      <c r="E18" s="1">
        <v>3</v>
      </c>
      <c r="F18" s="1">
        <v>1</v>
      </c>
      <c r="G18" s="12" t="s">
        <v>561</v>
      </c>
      <c r="H18" s="1">
        <v>1</v>
      </c>
      <c r="I18" s="1">
        <v>2</v>
      </c>
      <c r="J18" s="37" t="s">
        <v>1486</v>
      </c>
    </row>
    <row r="19" spans="2:10" ht="15" customHeight="1" x14ac:dyDescent="0.35">
      <c r="B19" s="95" t="s">
        <v>1593</v>
      </c>
      <c r="C19" s="99">
        <v>748.38</v>
      </c>
      <c r="D19" s="99">
        <v>381.79</v>
      </c>
      <c r="E19" s="1">
        <v>3</v>
      </c>
      <c r="F19" s="1">
        <v>1</v>
      </c>
      <c r="G19" s="12" t="s">
        <v>561</v>
      </c>
      <c r="H19" s="1">
        <v>3</v>
      </c>
      <c r="I19" s="1">
        <v>2</v>
      </c>
      <c r="J19" s="96" t="s">
        <v>1484</v>
      </c>
    </row>
    <row r="20" spans="2:10" ht="15" customHeight="1" x14ac:dyDescent="0.35">
      <c r="B20" s="95" t="s">
        <v>1594</v>
      </c>
      <c r="C20" s="99">
        <v>605.45000000000005</v>
      </c>
      <c r="D20" s="99">
        <v>372.91</v>
      </c>
      <c r="E20" s="1">
        <v>3</v>
      </c>
      <c r="F20" s="1">
        <v>1</v>
      </c>
      <c r="G20" s="12" t="s">
        <v>561</v>
      </c>
      <c r="H20" s="1">
        <v>3</v>
      </c>
      <c r="I20" s="1">
        <v>2</v>
      </c>
      <c r="J20" s="96" t="s">
        <v>1484</v>
      </c>
    </row>
    <row r="21" spans="2:10" ht="15" customHeight="1" x14ac:dyDescent="0.35">
      <c r="B21" s="95" t="s">
        <v>1568</v>
      </c>
      <c r="C21" s="99">
        <v>652.88</v>
      </c>
      <c r="D21" s="99">
        <v>365.62</v>
      </c>
      <c r="E21" s="1">
        <v>2</v>
      </c>
      <c r="F21" s="1">
        <v>1</v>
      </c>
      <c r="G21" s="12" t="s">
        <v>561</v>
      </c>
      <c r="H21" s="1">
        <v>1</v>
      </c>
      <c r="I21" s="1">
        <v>2</v>
      </c>
      <c r="J21" s="37" t="s">
        <v>319</v>
      </c>
    </row>
    <row r="22" spans="2:10" ht="15" customHeight="1" x14ac:dyDescent="0.35">
      <c r="B22" s="95" t="s">
        <v>1569</v>
      </c>
      <c r="C22" s="99">
        <v>483.28</v>
      </c>
      <c r="D22" s="99">
        <v>227.89</v>
      </c>
      <c r="E22" s="1">
        <v>3</v>
      </c>
      <c r="F22" s="1">
        <v>1</v>
      </c>
      <c r="G22" s="12" t="s">
        <v>561</v>
      </c>
      <c r="H22" s="1">
        <v>1</v>
      </c>
      <c r="I22" s="1">
        <v>2</v>
      </c>
      <c r="J22" s="96" t="s">
        <v>1484</v>
      </c>
    </row>
    <row r="23" spans="2:10" ht="15" customHeight="1" x14ac:dyDescent="0.35">
      <c r="B23" s="95" t="s">
        <v>1570</v>
      </c>
      <c r="C23" s="99">
        <v>562.71</v>
      </c>
      <c r="D23" s="99">
        <v>269.43</v>
      </c>
      <c r="E23" s="1">
        <v>3</v>
      </c>
      <c r="F23" s="1">
        <v>1</v>
      </c>
      <c r="G23" s="12" t="s">
        <v>561</v>
      </c>
      <c r="H23" s="1">
        <v>3</v>
      </c>
      <c r="I23" s="1">
        <v>2</v>
      </c>
      <c r="J23" s="37" t="s">
        <v>1485</v>
      </c>
    </row>
    <row r="24" spans="2:10" ht="15" customHeight="1" x14ac:dyDescent="0.35">
      <c r="B24" s="95" t="s">
        <v>1599</v>
      </c>
      <c r="C24" s="99">
        <v>895.78</v>
      </c>
      <c r="D24" s="99">
        <v>513.22</v>
      </c>
      <c r="E24" s="1">
        <v>3</v>
      </c>
      <c r="F24" s="1">
        <v>1</v>
      </c>
      <c r="G24" s="12" t="s">
        <v>561</v>
      </c>
      <c r="H24" s="1">
        <v>1</v>
      </c>
      <c r="I24" s="1">
        <v>2</v>
      </c>
      <c r="J24" s="96" t="s">
        <v>1484</v>
      </c>
    </row>
    <row r="25" spans="2:10" ht="15" customHeight="1" x14ac:dyDescent="0.35">
      <c r="B25" s="95" t="s">
        <v>1601</v>
      </c>
      <c r="C25" s="99">
        <v>771.75</v>
      </c>
      <c r="D25" s="99">
        <v>459.62</v>
      </c>
      <c r="E25" s="1">
        <v>3</v>
      </c>
      <c r="F25" s="1">
        <v>0</v>
      </c>
      <c r="G25" s="12" t="s">
        <v>561</v>
      </c>
      <c r="H25" s="1">
        <v>1</v>
      </c>
      <c r="I25" s="1">
        <v>3</v>
      </c>
      <c r="J25" s="37" t="s">
        <v>1486</v>
      </c>
    </row>
    <row r="26" spans="2:10" ht="15" customHeight="1" x14ac:dyDescent="0.35">
      <c r="B26" s="95" t="s">
        <v>1603</v>
      </c>
      <c r="C26" s="99">
        <v>450</v>
      </c>
      <c r="D26" s="99">
        <v>321.11</v>
      </c>
      <c r="E26" s="1">
        <v>2</v>
      </c>
      <c r="F26" s="1">
        <v>0</v>
      </c>
      <c r="G26" s="12" t="s">
        <v>561</v>
      </c>
      <c r="H26" s="1">
        <v>1</v>
      </c>
      <c r="I26" s="1">
        <v>2</v>
      </c>
      <c r="J26" s="96" t="s">
        <v>1484</v>
      </c>
    </row>
    <row r="27" spans="2:10" ht="15" customHeight="1" x14ac:dyDescent="0.35">
      <c r="B27" s="95" t="s">
        <v>1571</v>
      </c>
      <c r="C27" s="100">
        <v>469.78</v>
      </c>
      <c r="D27" s="99">
        <v>275.33</v>
      </c>
      <c r="E27" s="1">
        <v>2</v>
      </c>
      <c r="F27" s="1">
        <v>0</v>
      </c>
      <c r="G27" s="12" t="s">
        <v>561</v>
      </c>
      <c r="H27" s="1">
        <v>1</v>
      </c>
      <c r="I27" s="1">
        <v>2</v>
      </c>
      <c r="J27" s="96" t="s">
        <v>1484</v>
      </c>
    </row>
    <row r="28" spans="2:10" ht="15" customHeight="1" x14ac:dyDescent="0.35">
      <c r="B28" s="95" t="s">
        <v>1605</v>
      </c>
      <c r="C28" s="99">
        <v>304.08999999999997</v>
      </c>
      <c r="D28" s="99">
        <v>203.91</v>
      </c>
      <c r="E28" s="1">
        <v>2</v>
      </c>
      <c r="F28" s="1">
        <v>1</v>
      </c>
      <c r="G28" s="1" t="s">
        <v>1487</v>
      </c>
      <c r="H28" s="1">
        <v>1</v>
      </c>
      <c r="I28" s="1">
        <v>2</v>
      </c>
      <c r="J28" s="96" t="s">
        <v>1484</v>
      </c>
    </row>
    <row r="29" spans="2:10" ht="15" customHeight="1" x14ac:dyDescent="0.35">
      <c r="B29" s="95" t="s">
        <v>1607</v>
      </c>
      <c r="C29" s="99">
        <v>343.67</v>
      </c>
      <c r="D29" s="99">
        <v>196.67</v>
      </c>
      <c r="E29" s="1">
        <v>3</v>
      </c>
      <c r="F29" s="1">
        <v>0</v>
      </c>
      <c r="G29" s="1" t="s">
        <v>1487</v>
      </c>
      <c r="H29" s="1">
        <v>1</v>
      </c>
      <c r="I29" s="1">
        <v>3</v>
      </c>
      <c r="J29" s="37" t="s">
        <v>1486</v>
      </c>
    </row>
    <row r="30" spans="2:10" ht="15" customHeight="1" x14ac:dyDescent="0.35">
      <c r="B30" s="95" t="s">
        <v>1609</v>
      </c>
      <c r="C30" s="99">
        <v>228.2</v>
      </c>
      <c r="D30" s="99">
        <v>126</v>
      </c>
      <c r="E30" s="1">
        <v>2</v>
      </c>
      <c r="F30" s="1">
        <v>1</v>
      </c>
      <c r="G30" s="1" t="s">
        <v>1487</v>
      </c>
      <c r="H30" s="1">
        <v>1</v>
      </c>
      <c r="I30" s="1">
        <v>2</v>
      </c>
      <c r="J30" s="96" t="s">
        <v>1484</v>
      </c>
    </row>
    <row r="31" spans="2:10" ht="15" customHeight="1" x14ac:dyDescent="0.35">
      <c r="B31" s="95" t="s">
        <v>1659</v>
      </c>
      <c r="C31" s="99">
        <v>431.6</v>
      </c>
      <c r="D31" s="99">
        <v>301.60000000000002</v>
      </c>
      <c r="E31" s="1">
        <v>2</v>
      </c>
      <c r="F31" s="1">
        <v>0</v>
      </c>
      <c r="G31" s="12" t="s">
        <v>561</v>
      </c>
      <c r="H31" s="1">
        <v>1</v>
      </c>
      <c r="I31" s="1">
        <v>2</v>
      </c>
      <c r="J31" s="37" t="s">
        <v>1486</v>
      </c>
    </row>
    <row r="32" spans="2:10" ht="15" customHeight="1" x14ac:dyDescent="0.35">
      <c r="B32" s="95" t="s">
        <v>1610</v>
      </c>
      <c r="C32" s="99">
        <v>328.5</v>
      </c>
      <c r="D32" s="99">
        <v>174.93</v>
      </c>
      <c r="E32" s="1">
        <v>2</v>
      </c>
      <c r="F32" s="1">
        <v>0</v>
      </c>
      <c r="G32" s="12" t="s">
        <v>561</v>
      </c>
      <c r="H32" s="1">
        <v>1</v>
      </c>
      <c r="I32" s="1">
        <v>1</v>
      </c>
      <c r="J32" s="96" t="s">
        <v>1484</v>
      </c>
    </row>
    <row r="33" spans="2:10" ht="15" customHeight="1" x14ac:dyDescent="0.35">
      <c r="B33" s="95" t="s">
        <v>1613</v>
      </c>
      <c r="C33" s="99">
        <v>180.12</v>
      </c>
      <c r="D33" s="99">
        <v>82.24</v>
      </c>
      <c r="E33" s="1">
        <v>2</v>
      </c>
      <c r="F33" s="1">
        <v>1</v>
      </c>
      <c r="G33" s="12" t="s">
        <v>561</v>
      </c>
      <c r="H33" s="1">
        <v>1</v>
      </c>
      <c r="I33" s="1">
        <v>1</v>
      </c>
      <c r="J33" s="37" t="s">
        <v>1485</v>
      </c>
    </row>
    <row r="34" spans="2:10" ht="15" customHeight="1" x14ac:dyDescent="0.35">
      <c r="B34" s="95" t="s">
        <v>1614</v>
      </c>
      <c r="C34" s="99">
        <v>255.87</v>
      </c>
      <c r="D34" s="99">
        <v>135.26</v>
      </c>
      <c r="E34" s="1">
        <v>2</v>
      </c>
      <c r="F34" s="1">
        <v>1</v>
      </c>
      <c r="G34" s="12" t="s">
        <v>561</v>
      </c>
      <c r="H34" s="1">
        <v>1</v>
      </c>
      <c r="I34" s="1">
        <v>1</v>
      </c>
      <c r="J34" s="37" t="s">
        <v>1485</v>
      </c>
    </row>
    <row r="35" spans="2:10" ht="15" customHeight="1" x14ac:dyDescent="0.35">
      <c r="B35" s="95" t="s">
        <v>1615</v>
      </c>
      <c r="C35" s="99">
        <v>258.26</v>
      </c>
      <c r="D35" s="99">
        <v>131.94</v>
      </c>
      <c r="E35" s="1">
        <v>2</v>
      </c>
      <c r="F35" s="1">
        <v>0</v>
      </c>
      <c r="G35" s="12" t="s">
        <v>561</v>
      </c>
      <c r="H35" s="1">
        <v>1</v>
      </c>
      <c r="I35" s="1">
        <v>1</v>
      </c>
      <c r="J35" s="37" t="s">
        <v>1485</v>
      </c>
    </row>
    <row r="36" spans="2:10" ht="15" customHeight="1" x14ac:dyDescent="0.35">
      <c r="B36" s="95" t="s">
        <v>1616</v>
      </c>
      <c r="C36" s="99">
        <v>307.61</v>
      </c>
      <c r="D36" s="99">
        <v>181.61</v>
      </c>
      <c r="E36" s="1">
        <v>2</v>
      </c>
      <c r="F36" s="1">
        <v>1</v>
      </c>
      <c r="G36" s="12" t="s">
        <v>561</v>
      </c>
      <c r="H36" s="1">
        <v>1</v>
      </c>
      <c r="I36" s="1">
        <v>2</v>
      </c>
      <c r="J36" s="37" t="s">
        <v>1486</v>
      </c>
    </row>
    <row r="37" spans="2:10" ht="15" customHeight="1" x14ac:dyDescent="0.35">
      <c r="B37" s="95" t="s">
        <v>1618</v>
      </c>
      <c r="C37" s="99">
        <v>653.11</v>
      </c>
      <c r="D37" s="99">
        <v>365.44</v>
      </c>
      <c r="E37" s="1">
        <v>3</v>
      </c>
      <c r="F37" s="1">
        <v>0</v>
      </c>
      <c r="G37" s="1" t="s">
        <v>1487</v>
      </c>
      <c r="H37" s="1">
        <v>3</v>
      </c>
      <c r="I37" s="1">
        <v>2</v>
      </c>
      <c r="J37" s="37" t="s">
        <v>1486</v>
      </c>
    </row>
    <row r="38" spans="2:10" ht="15" customHeight="1" x14ac:dyDescent="0.35">
      <c r="B38" s="95" t="s">
        <v>1620</v>
      </c>
      <c r="C38" s="99">
        <v>613.15</v>
      </c>
      <c r="D38" s="99">
        <v>505.96</v>
      </c>
      <c r="E38" s="1">
        <v>3</v>
      </c>
      <c r="F38" s="1">
        <v>0</v>
      </c>
      <c r="G38" s="1" t="s">
        <v>1488</v>
      </c>
      <c r="H38" s="1">
        <v>3</v>
      </c>
      <c r="I38" s="1">
        <v>2</v>
      </c>
      <c r="J38" s="96" t="s">
        <v>1484</v>
      </c>
    </row>
    <row r="39" spans="2:10" ht="15" customHeight="1" x14ac:dyDescent="0.35">
      <c r="B39" s="95" t="s">
        <v>1625</v>
      </c>
      <c r="C39" s="99">
        <v>641.20000000000005</v>
      </c>
      <c r="D39" s="99">
        <v>381.6</v>
      </c>
      <c r="E39" s="1">
        <v>3</v>
      </c>
      <c r="F39" s="1">
        <v>0</v>
      </c>
      <c r="G39" s="1" t="s">
        <v>1489</v>
      </c>
      <c r="H39" s="1">
        <v>3</v>
      </c>
      <c r="I39" s="1">
        <v>3</v>
      </c>
      <c r="J39" s="37" t="s">
        <v>1486</v>
      </c>
    </row>
    <row r="40" spans="2:10" ht="15" customHeight="1" x14ac:dyDescent="0.35">
      <c r="B40" s="95" t="s">
        <v>1624</v>
      </c>
      <c r="C40" s="99">
        <v>653</v>
      </c>
      <c r="D40" s="99">
        <v>310.56</v>
      </c>
      <c r="E40" s="1">
        <v>2</v>
      </c>
      <c r="F40" s="1">
        <v>0</v>
      </c>
      <c r="G40" s="1" t="s">
        <v>1488</v>
      </c>
      <c r="H40" s="1">
        <v>3</v>
      </c>
      <c r="I40" s="1">
        <v>2</v>
      </c>
      <c r="J40" s="96" t="s">
        <v>1484</v>
      </c>
    </row>
    <row r="41" spans="2:10" ht="15" customHeight="1" x14ac:dyDescent="0.35">
      <c r="B41" s="95" t="s">
        <v>1626</v>
      </c>
      <c r="C41" s="99">
        <v>630</v>
      </c>
      <c r="D41" s="99">
        <v>327.9</v>
      </c>
      <c r="E41" s="1">
        <v>2</v>
      </c>
      <c r="F41" s="1">
        <v>0</v>
      </c>
      <c r="G41" s="1" t="s">
        <v>1488</v>
      </c>
      <c r="H41" s="1">
        <v>3</v>
      </c>
      <c r="I41" s="1">
        <v>2</v>
      </c>
      <c r="J41" s="96" t="s">
        <v>1484</v>
      </c>
    </row>
    <row r="42" spans="2:10" ht="15" customHeight="1" x14ac:dyDescent="0.35">
      <c r="B42" s="95" t="s">
        <v>1627</v>
      </c>
      <c r="C42" s="99">
        <v>451.43</v>
      </c>
      <c r="D42" s="99">
        <v>270</v>
      </c>
      <c r="E42" s="1">
        <v>2</v>
      </c>
      <c r="F42" s="1">
        <v>0</v>
      </c>
      <c r="G42" s="1" t="s">
        <v>1487</v>
      </c>
      <c r="H42" s="1">
        <v>3</v>
      </c>
      <c r="I42" s="1">
        <v>2</v>
      </c>
      <c r="J42" s="96" t="s">
        <v>1484</v>
      </c>
    </row>
    <row r="43" spans="2:10" ht="15" customHeight="1" x14ac:dyDescent="0.35">
      <c r="B43" s="95" t="s">
        <v>1628</v>
      </c>
      <c r="C43" s="99">
        <v>444.31</v>
      </c>
      <c r="D43" s="99">
        <v>277.36</v>
      </c>
      <c r="E43" s="1">
        <v>2</v>
      </c>
      <c r="F43" s="1">
        <v>0</v>
      </c>
      <c r="G43" s="1" t="s">
        <v>1489</v>
      </c>
      <c r="H43" s="1">
        <v>3</v>
      </c>
      <c r="I43" s="1">
        <v>1</v>
      </c>
      <c r="J43" s="96" t="s">
        <v>1484</v>
      </c>
    </row>
    <row r="44" spans="2:10" ht="15" customHeight="1" x14ac:dyDescent="0.35">
      <c r="B44" s="95" t="s">
        <v>1629</v>
      </c>
      <c r="C44" s="99">
        <v>614.55999999999995</v>
      </c>
      <c r="D44" s="99">
        <v>343.44</v>
      </c>
      <c r="E44" s="1">
        <v>2</v>
      </c>
      <c r="F44" s="1">
        <v>0</v>
      </c>
      <c r="G44" s="1" t="s">
        <v>1489</v>
      </c>
      <c r="H44" s="1">
        <v>3</v>
      </c>
      <c r="I44" s="1">
        <v>1</v>
      </c>
      <c r="J44" s="37" t="s">
        <v>1486</v>
      </c>
    </row>
    <row r="45" spans="2:10" ht="15" customHeight="1" x14ac:dyDescent="0.35">
      <c r="B45" s="95" t="s">
        <v>1633</v>
      </c>
      <c r="C45" s="99">
        <v>579.4</v>
      </c>
      <c r="D45" s="99">
        <v>374.1</v>
      </c>
      <c r="E45" s="1">
        <v>2</v>
      </c>
      <c r="F45" s="1">
        <v>0</v>
      </c>
      <c r="G45" s="1" t="s">
        <v>1489</v>
      </c>
      <c r="H45" s="1">
        <v>3</v>
      </c>
      <c r="I45" s="1">
        <v>2</v>
      </c>
      <c r="J45" s="96" t="s">
        <v>1484</v>
      </c>
    </row>
    <row r="46" spans="2:10" ht="15" customHeight="1" x14ac:dyDescent="0.35">
      <c r="B46" s="95" t="s">
        <v>1572</v>
      </c>
      <c r="C46" s="99">
        <v>427.33</v>
      </c>
      <c r="D46" s="99">
        <v>219.5</v>
      </c>
      <c r="E46" s="1">
        <v>2</v>
      </c>
      <c r="F46" s="1">
        <v>0</v>
      </c>
      <c r="G46" s="1" t="s">
        <v>1488</v>
      </c>
      <c r="H46" s="1">
        <v>3</v>
      </c>
      <c r="I46" s="1">
        <v>2</v>
      </c>
      <c r="J46" s="96" t="s">
        <v>1484</v>
      </c>
    </row>
    <row r="47" spans="2:10" ht="15" customHeight="1" x14ac:dyDescent="0.35">
      <c r="B47" s="95" t="s">
        <v>1573</v>
      </c>
      <c r="C47" s="99">
        <v>526</v>
      </c>
      <c r="D47" s="99">
        <v>431.9</v>
      </c>
      <c r="E47" s="1">
        <v>2</v>
      </c>
      <c r="F47" s="1">
        <v>0</v>
      </c>
      <c r="G47" s="1" t="s">
        <v>1488</v>
      </c>
      <c r="H47" s="1">
        <v>3</v>
      </c>
      <c r="I47" s="1">
        <v>2</v>
      </c>
      <c r="J47" s="96" t="s">
        <v>1484</v>
      </c>
    </row>
    <row r="48" spans="2:10" ht="15" customHeight="1" x14ac:dyDescent="0.35">
      <c r="B48" s="95" t="s">
        <v>1635</v>
      </c>
      <c r="C48" s="99">
        <v>549.94000000000005</v>
      </c>
      <c r="D48" s="99">
        <v>365.82</v>
      </c>
      <c r="E48" s="1">
        <v>3</v>
      </c>
      <c r="F48" s="1">
        <v>0</v>
      </c>
      <c r="G48" s="1" t="s">
        <v>1489</v>
      </c>
      <c r="H48" s="1">
        <v>3</v>
      </c>
      <c r="I48" s="1">
        <v>2</v>
      </c>
      <c r="J48" s="96" t="s">
        <v>1484</v>
      </c>
    </row>
    <row r="49" spans="2:10" ht="15" customHeight="1" x14ac:dyDescent="0.35">
      <c r="B49" s="95" t="s">
        <v>1636</v>
      </c>
      <c r="C49" s="99">
        <v>501</v>
      </c>
      <c r="D49" s="99">
        <v>392.5</v>
      </c>
      <c r="E49" s="1">
        <v>2</v>
      </c>
      <c r="F49" s="1">
        <v>0</v>
      </c>
      <c r="G49" s="1" t="s">
        <v>1489</v>
      </c>
      <c r="H49" s="1">
        <v>3</v>
      </c>
      <c r="I49" s="1">
        <v>2</v>
      </c>
      <c r="J49" s="37" t="s">
        <v>1486</v>
      </c>
    </row>
    <row r="50" spans="2:10" ht="15" customHeight="1" x14ac:dyDescent="0.35">
      <c r="B50" s="95" t="s">
        <v>1574</v>
      </c>
      <c r="C50" s="99">
        <v>678.55</v>
      </c>
      <c r="D50" s="99">
        <v>449.59</v>
      </c>
      <c r="E50" s="1">
        <v>2</v>
      </c>
      <c r="F50" s="1">
        <v>0</v>
      </c>
      <c r="G50" s="1" t="s">
        <v>1488</v>
      </c>
      <c r="H50" s="1">
        <v>3</v>
      </c>
      <c r="I50" s="1">
        <v>1</v>
      </c>
      <c r="J50" s="96" t="s">
        <v>1484</v>
      </c>
    </row>
    <row r="51" spans="2:10" ht="15" customHeight="1" x14ac:dyDescent="0.35">
      <c r="B51" s="95" t="s">
        <v>1575</v>
      </c>
      <c r="C51" s="99">
        <v>318.23</v>
      </c>
      <c r="D51" s="99">
        <v>222.97</v>
      </c>
      <c r="E51" s="1">
        <v>2</v>
      </c>
      <c r="F51" s="1">
        <v>0</v>
      </c>
      <c r="G51" s="1" t="s">
        <v>1488</v>
      </c>
      <c r="H51" s="1">
        <v>3</v>
      </c>
      <c r="I51" s="1">
        <v>1</v>
      </c>
      <c r="J51" s="96" t="s">
        <v>1484</v>
      </c>
    </row>
    <row r="52" spans="2:10" ht="15" customHeight="1" thickBot="1" x14ac:dyDescent="0.4">
      <c r="B52" s="97" t="s">
        <v>1576</v>
      </c>
      <c r="C52" s="101">
        <v>542.73</v>
      </c>
      <c r="D52" s="101">
        <v>386.53</v>
      </c>
      <c r="E52" s="39">
        <v>2</v>
      </c>
      <c r="F52" s="39">
        <v>0</v>
      </c>
      <c r="G52" s="39" t="s">
        <v>1488</v>
      </c>
      <c r="H52" s="39">
        <v>3</v>
      </c>
      <c r="I52" s="39">
        <v>1</v>
      </c>
      <c r="J52" s="98" t="s">
        <v>1484</v>
      </c>
    </row>
    <row r="53" spans="2:10" ht="15" customHeight="1" x14ac:dyDescent="0.35">
      <c r="B53" s="6"/>
      <c r="C53" s="99"/>
      <c r="D53" s="99"/>
      <c r="J53" s="12"/>
    </row>
    <row r="54" spans="2:10" ht="15" customHeight="1" x14ac:dyDescent="0.35">
      <c r="B54" s="129" t="s">
        <v>1875</v>
      </c>
    </row>
    <row r="55" spans="2:10" ht="15" customHeight="1" x14ac:dyDescent="0.35">
      <c r="B55" s="180" t="s">
        <v>1984</v>
      </c>
      <c r="C55" s="180"/>
      <c r="D55" s="180"/>
      <c r="E55" s="180"/>
      <c r="F55" s="180"/>
      <c r="G55" s="180"/>
      <c r="H55" s="180"/>
      <c r="I55" s="180"/>
      <c r="J55" s="180"/>
    </row>
    <row r="56" spans="2:10" ht="15" customHeight="1" x14ac:dyDescent="0.35">
      <c r="B56" s="180"/>
      <c r="C56" s="180"/>
      <c r="D56" s="180"/>
      <c r="E56" s="180"/>
      <c r="F56" s="180"/>
      <c r="G56" s="180"/>
      <c r="H56" s="180"/>
      <c r="I56" s="180"/>
      <c r="J56" s="180"/>
    </row>
    <row r="57" spans="2:10" ht="15" customHeight="1" x14ac:dyDescent="0.35">
      <c r="B57" s="180"/>
      <c r="C57" s="180"/>
      <c r="D57" s="180"/>
      <c r="E57" s="180"/>
      <c r="F57" s="180"/>
      <c r="G57" s="180"/>
      <c r="H57" s="180"/>
      <c r="I57" s="180"/>
      <c r="J57" s="180"/>
    </row>
    <row r="58" spans="2:10" ht="15" customHeight="1" x14ac:dyDescent="0.35">
      <c r="B58" s="180"/>
      <c r="C58" s="180"/>
      <c r="D58" s="180"/>
      <c r="E58" s="180"/>
      <c r="F58" s="180"/>
      <c r="G58" s="180"/>
      <c r="H58" s="180"/>
      <c r="I58" s="180"/>
      <c r="J58" s="180"/>
    </row>
    <row r="59" spans="2:10" ht="15" customHeight="1" x14ac:dyDescent="0.35">
      <c r="B59" s="180"/>
      <c r="C59" s="180"/>
      <c r="D59" s="180"/>
      <c r="E59" s="180"/>
      <c r="F59" s="180"/>
      <c r="G59" s="180"/>
      <c r="H59" s="180"/>
      <c r="I59" s="180"/>
      <c r="J59" s="180"/>
    </row>
    <row r="60" spans="2:10" ht="15" customHeight="1" x14ac:dyDescent="0.35">
      <c r="B60" s="180"/>
      <c r="C60" s="180"/>
      <c r="D60" s="180"/>
      <c r="E60" s="180"/>
      <c r="F60" s="180"/>
      <c r="G60" s="180"/>
      <c r="H60" s="180"/>
      <c r="I60" s="180"/>
      <c r="J60" s="180"/>
    </row>
    <row r="61" spans="2:10" ht="15" customHeight="1" x14ac:dyDescent="0.35">
      <c r="B61" s="180"/>
      <c r="C61" s="180"/>
      <c r="D61" s="180"/>
      <c r="E61" s="180"/>
      <c r="F61" s="180"/>
      <c r="G61" s="180"/>
      <c r="H61" s="180"/>
      <c r="I61" s="180"/>
      <c r="J61" s="180"/>
    </row>
    <row r="62" spans="2:10" ht="15" customHeight="1" x14ac:dyDescent="0.35">
      <c r="B62" s="180"/>
      <c r="C62" s="180"/>
      <c r="D62" s="180"/>
      <c r="E62" s="180"/>
      <c r="F62" s="180"/>
      <c r="G62" s="180"/>
      <c r="H62" s="180"/>
      <c r="I62" s="180"/>
      <c r="J62" s="180"/>
    </row>
    <row r="63" spans="2:10" ht="15" customHeight="1" x14ac:dyDescent="0.35">
      <c r="B63" s="180"/>
      <c r="C63" s="180"/>
      <c r="D63" s="180"/>
      <c r="E63" s="180"/>
      <c r="F63" s="180"/>
      <c r="G63" s="180"/>
      <c r="H63" s="180"/>
      <c r="I63" s="180"/>
      <c r="J63" s="180"/>
    </row>
    <row r="64" spans="2:10" ht="15" customHeight="1" x14ac:dyDescent="0.35">
      <c r="B64" s="180"/>
      <c r="C64" s="180"/>
      <c r="D64" s="180"/>
      <c r="E64" s="180"/>
      <c r="F64" s="180"/>
      <c r="G64" s="180"/>
      <c r="H64" s="180"/>
      <c r="I64" s="180"/>
      <c r="J64" s="180"/>
    </row>
    <row r="65" spans="2:10" ht="15" customHeight="1" x14ac:dyDescent="0.35">
      <c r="B65" s="180"/>
      <c r="C65" s="180"/>
      <c r="D65" s="180"/>
      <c r="E65" s="180"/>
      <c r="F65" s="180"/>
      <c r="G65" s="180"/>
      <c r="H65" s="180"/>
      <c r="I65" s="180"/>
      <c r="J65" s="180"/>
    </row>
    <row r="66" spans="2:10" ht="15" customHeight="1" x14ac:dyDescent="0.35">
      <c r="B66" s="180"/>
      <c r="C66" s="180"/>
      <c r="D66" s="180"/>
      <c r="E66" s="180"/>
      <c r="F66" s="180"/>
      <c r="G66" s="180"/>
      <c r="H66" s="180"/>
      <c r="I66" s="180"/>
      <c r="J66" s="180"/>
    </row>
    <row r="67" spans="2:10" ht="15" customHeight="1" x14ac:dyDescent="0.35">
      <c r="B67" s="180"/>
      <c r="C67" s="180"/>
      <c r="D67" s="180"/>
      <c r="E67" s="180"/>
      <c r="F67" s="180"/>
      <c r="G67" s="180"/>
      <c r="H67" s="180"/>
      <c r="I67" s="180"/>
      <c r="J67" s="180"/>
    </row>
    <row r="68" spans="2:10" ht="15" customHeight="1" x14ac:dyDescent="0.35">
      <c r="B68" s="180"/>
      <c r="C68" s="180"/>
      <c r="D68" s="180"/>
      <c r="E68" s="180"/>
      <c r="F68" s="180"/>
      <c r="G68" s="180"/>
      <c r="H68" s="180"/>
      <c r="I68" s="180"/>
      <c r="J68" s="180"/>
    </row>
    <row r="69" spans="2:10" ht="15" customHeight="1" x14ac:dyDescent="0.35">
      <c r="B69" s="180"/>
      <c r="C69" s="180"/>
      <c r="D69" s="180"/>
      <c r="E69" s="180"/>
      <c r="F69" s="180"/>
      <c r="G69" s="180"/>
      <c r="H69" s="180"/>
      <c r="I69" s="180"/>
      <c r="J69" s="180"/>
    </row>
  </sheetData>
  <mergeCells count="2">
    <mergeCell ref="B55:J69"/>
    <mergeCell ref="B2:J2"/>
  </mergeCells>
  <phoneticPr fontId="1" type="noConversion"/>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3135-D842-4F28-8506-E392A42346D5}">
  <dimension ref="B2:L468"/>
  <sheetViews>
    <sheetView zoomScale="58" zoomScaleNormal="58" workbookViewId="0">
      <pane xSplit="1" ySplit="3" topLeftCell="B4" activePane="bottomRight" state="frozen"/>
      <selection pane="topRight" activeCell="B1" sqref="B1"/>
      <selection pane="bottomLeft" activeCell="A4" sqref="A4"/>
      <selection pane="bottomRight" activeCell="B2" sqref="B2:L2"/>
    </sheetView>
  </sheetViews>
  <sheetFormatPr defaultRowHeight="14.15" x14ac:dyDescent="0.35"/>
  <cols>
    <col min="1" max="1" width="4.640625" style="12" customWidth="1"/>
    <col min="2" max="2" width="18.42578125" style="12" customWidth="1"/>
    <col min="3" max="3" width="15.92578125" style="12" customWidth="1"/>
    <col min="4" max="4" width="14.2109375" style="12" customWidth="1"/>
    <col min="5" max="5" width="14.5703125" style="12" customWidth="1"/>
    <col min="6" max="6" width="18.85546875" style="12" customWidth="1"/>
    <col min="7" max="7" width="17.78515625" style="12" customWidth="1"/>
    <col min="8" max="8" width="17.2109375" style="12" customWidth="1"/>
    <col min="9" max="9" width="58.2109375" style="12" customWidth="1"/>
    <col min="10" max="10" width="39.5" style="12" customWidth="1"/>
    <col min="11" max="11" width="51.85546875" style="12" customWidth="1"/>
    <col min="12" max="12" width="52.28515625" style="12" customWidth="1"/>
    <col min="13" max="16384" width="9.140625" style="12"/>
  </cols>
  <sheetData>
    <row r="2" spans="2:12" ht="25" customHeight="1" thickBot="1" x14ac:dyDescent="0.4">
      <c r="B2" s="181" t="s">
        <v>1989</v>
      </c>
      <c r="C2" s="182"/>
      <c r="D2" s="182"/>
      <c r="E2" s="182"/>
      <c r="F2" s="182"/>
      <c r="G2" s="182"/>
      <c r="H2" s="182"/>
      <c r="I2" s="182"/>
      <c r="J2" s="182"/>
      <c r="K2" s="182"/>
      <c r="L2" s="182"/>
    </row>
    <row r="3" spans="2:12" s="3" customFormat="1" ht="24.9" customHeight="1" thickBot="1" x14ac:dyDescent="0.4">
      <c r="B3" s="112" t="s">
        <v>27</v>
      </c>
      <c r="C3" s="113" t="s">
        <v>55</v>
      </c>
      <c r="D3" s="113" t="s">
        <v>56</v>
      </c>
      <c r="E3" s="113" t="s">
        <v>57</v>
      </c>
      <c r="F3" s="113" t="s">
        <v>58</v>
      </c>
      <c r="G3" s="113" t="s">
        <v>59</v>
      </c>
      <c r="H3" s="113" t="s">
        <v>60</v>
      </c>
      <c r="I3" s="113" t="s">
        <v>61</v>
      </c>
      <c r="J3" s="113" t="s">
        <v>62</v>
      </c>
      <c r="K3" s="113" t="s">
        <v>63</v>
      </c>
      <c r="L3" s="114" t="s">
        <v>64</v>
      </c>
    </row>
    <row r="4" spans="2:12" ht="70.75" x14ac:dyDescent="0.35">
      <c r="B4" s="172" t="s">
        <v>1874</v>
      </c>
      <c r="C4" s="108" t="s">
        <v>65</v>
      </c>
      <c r="D4" s="108" t="s">
        <v>66</v>
      </c>
      <c r="E4" s="108" t="s">
        <v>67</v>
      </c>
      <c r="F4" s="108" t="s">
        <v>68</v>
      </c>
      <c r="G4" s="109" t="s">
        <v>69</v>
      </c>
      <c r="H4" s="110">
        <v>401.2</v>
      </c>
      <c r="I4" s="109" t="s">
        <v>70</v>
      </c>
      <c r="J4" s="109" t="s">
        <v>71</v>
      </c>
      <c r="K4" s="108" t="s">
        <v>1735</v>
      </c>
      <c r="L4" s="111" t="s">
        <v>72</v>
      </c>
    </row>
    <row r="5" spans="2:12" ht="56.6" x14ac:dyDescent="0.35">
      <c r="B5" s="170"/>
      <c r="C5" s="13" t="s">
        <v>73</v>
      </c>
      <c r="D5" s="13" t="s">
        <v>74</v>
      </c>
      <c r="E5" s="13" t="s">
        <v>67</v>
      </c>
      <c r="F5" s="13" t="s">
        <v>68</v>
      </c>
      <c r="G5" s="14" t="s">
        <v>75</v>
      </c>
      <c r="H5" s="15">
        <v>176.2</v>
      </c>
      <c r="I5" s="14" t="s">
        <v>76</v>
      </c>
      <c r="J5" s="14" t="s">
        <v>71</v>
      </c>
      <c r="K5" s="13" t="s">
        <v>1736</v>
      </c>
      <c r="L5" s="16" t="s">
        <v>72</v>
      </c>
    </row>
    <row r="6" spans="2:12" ht="99" x14ac:dyDescent="0.35">
      <c r="B6" s="170"/>
      <c r="C6" s="13" t="s">
        <v>77</v>
      </c>
      <c r="D6" s="13" t="s">
        <v>78</v>
      </c>
      <c r="E6" s="13" t="s">
        <v>79</v>
      </c>
      <c r="F6" s="13" t="s">
        <v>80</v>
      </c>
      <c r="G6" s="14" t="s">
        <v>81</v>
      </c>
      <c r="H6" s="14">
        <v>2</v>
      </c>
      <c r="I6" s="14" t="s">
        <v>82</v>
      </c>
      <c r="J6" s="14" t="s">
        <v>83</v>
      </c>
      <c r="K6" s="13" t="s">
        <v>84</v>
      </c>
      <c r="L6" s="16" t="s">
        <v>85</v>
      </c>
    </row>
    <row r="7" spans="2:12" ht="99" x14ac:dyDescent="0.35">
      <c r="B7" s="170"/>
      <c r="C7" s="13" t="s">
        <v>86</v>
      </c>
      <c r="D7" s="13" t="s">
        <v>87</v>
      </c>
      <c r="E7" s="13" t="s">
        <v>88</v>
      </c>
      <c r="F7" s="13" t="s">
        <v>89</v>
      </c>
      <c r="G7" s="14" t="s">
        <v>90</v>
      </c>
      <c r="H7" s="14">
        <v>1</v>
      </c>
      <c r="I7" s="14" t="s">
        <v>91</v>
      </c>
      <c r="J7" s="14" t="s">
        <v>92</v>
      </c>
      <c r="K7" s="13" t="s">
        <v>93</v>
      </c>
      <c r="L7" s="16" t="s">
        <v>94</v>
      </c>
    </row>
    <row r="8" spans="2:12" ht="70.75" x14ac:dyDescent="0.35">
      <c r="B8" s="170"/>
      <c r="C8" s="13" t="s">
        <v>95</v>
      </c>
      <c r="D8" s="13" t="s">
        <v>96</v>
      </c>
      <c r="E8" s="13" t="s">
        <v>97</v>
      </c>
      <c r="F8" s="13" t="s">
        <v>98</v>
      </c>
      <c r="G8" s="14" t="s">
        <v>99</v>
      </c>
      <c r="H8" s="14" t="s">
        <v>99</v>
      </c>
      <c r="I8" s="14" t="s">
        <v>100</v>
      </c>
      <c r="J8" s="14" t="s">
        <v>101</v>
      </c>
      <c r="K8" s="13" t="s">
        <v>102</v>
      </c>
      <c r="L8" s="16" t="s">
        <v>103</v>
      </c>
    </row>
    <row r="9" spans="2:12" ht="42.45" x14ac:dyDescent="0.35">
      <c r="B9" s="170"/>
      <c r="C9" s="13" t="s">
        <v>104</v>
      </c>
      <c r="D9" s="13" t="s">
        <v>105</v>
      </c>
      <c r="E9" s="13" t="s">
        <v>79</v>
      </c>
      <c r="F9" s="13" t="s">
        <v>106</v>
      </c>
      <c r="G9" s="14" t="s">
        <v>107</v>
      </c>
      <c r="H9" s="14">
        <v>1</v>
      </c>
      <c r="I9" s="14" t="s">
        <v>108</v>
      </c>
      <c r="J9" s="14" t="s">
        <v>109</v>
      </c>
      <c r="K9" s="13" t="s">
        <v>1737</v>
      </c>
      <c r="L9" s="16" t="s">
        <v>110</v>
      </c>
    </row>
    <row r="10" spans="2:12" ht="70.75" x14ac:dyDescent="0.35">
      <c r="B10" s="170"/>
      <c r="C10" s="13" t="s">
        <v>111</v>
      </c>
      <c r="D10" s="13" t="s">
        <v>112</v>
      </c>
      <c r="E10" s="13" t="s">
        <v>79</v>
      </c>
      <c r="F10" s="13" t="s">
        <v>113</v>
      </c>
      <c r="G10" s="14" t="s">
        <v>114</v>
      </c>
      <c r="H10" s="14">
        <v>3</v>
      </c>
      <c r="I10" s="14" t="s">
        <v>115</v>
      </c>
      <c r="J10" s="14" t="s">
        <v>116</v>
      </c>
      <c r="K10" s="13" t="s">
        <v>117</v>
      </c>
      <c r="L10" s="16" t="s">
        <v>118</v>
      </c>
    </row>
    <row r="11" spans="2:12" ht="85.3" thickBot="1" x14ac:dyDescent="0.4">
      <c r="B11" s="171"/>
      <c r="C11" s="17" t="s">
        <v>119</v>
      </c>
      <c r="D11" s="17" t="s">
        <v>120</v>
      </c>
      <c r="E11" s="17" t="s">
        <v>97</v>
      </c>
      <c r="F11" s="17" t="s">
        <v>121</v>
      </c>
      <c r="G11" s="18" t="s">
        <v>122</v>
      </c>
      <c r="H11" s="18" t="s">
        <v>123</v>
      </c>
      <c r="I11" s="18" t="s">
        <v>124</v>
      </c>
      <c r="J11" s="18" t="s">
        <v>125</v>
      </c>
      <c r="K11" s="17" t="s">
        <v>126</v>
      </c>
      <c r="L11" s="19" t="s">
        <v>127</v>
      </c>
    </row>
    <row r="12" spans="2:12" ht="14.6" thickBot="1" x14ac:dyDescent="0.4"/>
    <row r="13" spans="2:12" ht="70.75" x14ac:dyDescent="0.35">
      <c r="B13" s="169" t="s">
        <v>1784</v>
      </c>
      <c r="C13" s="8" t="s">
        <v>65</v>
      </c>
      <c r="D13" s="8" t="s">
        <v>66</v>
      </c>
      <c r="E13" s="8" t="s">
        <v>67</v>
      </c>
      <c r="F13" s="8" t="s">
        <v>68</v>
      </c>
      <c r="G13" s="9" t="s">
        <v>128</v>
      </c>
      <c r="H13" s="9">
        <v>325.64</v>
      </c>
      <c r="I13" s="9" t="s">
        <v>129</v>
      </c>
      <c r="J13" s="9" t="s">
        <v>130</v>
      </c>
      <c r="K13" s="8" t="s">
        <v>1735</v>
      </c>
      <c r="L13" s="11" t="s">
        <v>72</v>
      </c>
    </row>
    <row r="14" spans="2:12" ht="56.6" x14ac:dyDescent="0.35">
      <c r="B14" s="170"/>
      <c r="C14" s="13" t="s">
        <v>73</v>
      </c>
      <c r="D14" s="13" t="s">
        <v>74</v>
      </c>
      <c r="E14" s="13" t="s">
        <v>67</v>
      </c>
      <c r="F14" s="13" t="s">
        <v>68</v>
      </c>
      <c r="G14" s="14" t="s">
        <v>131</v>
      </c>
      <c r="H14" s="14">
        <v>157.63999999999999</v>
      </c>
      <c r="I14" s="14" t="s">
        <v>132</v>
      </c>
      <c r="J14" s="14" t="s">
        <v>130</v>
      </c>
      <c r="K14" s="13" t="s">
        <v>1736</v>
      </c>
      <c r="L14" s="16" t="s">
        <v>72</v>
      </c>
    </row>
    <row r="15" spans="2:12" ht="113.15" x14ac:dyDescent="0.35">
      <c r="B15" s="170"/>
      <c r="C15" s="13" t="s">
        <v>77</v>
      </c>
      <c r="D15" s="13" t="s">
        <v>78</v>
      </c>
      <c r="E15" s="13" t="s">
        <v>79</v>
      </c>
      <c r="F15" s="13" t="s">
        <v>80</v>
      </c>
      <c r="G15" s="14" t="s">
        <v>81</v>
      </c>
      <c r="H15" s="14">
        <v>2</v>
      </c>
      <c r="I15" s="14" t="s">
        <v>133</v>
      </c>
      <c r="J15" s="14" t="s">
        <v>134</v>
      </c>
      <c r="K15" s="13" t="s">
        <v>84</v>
      </c>
      <c r="L15" s="16" t="s">
        <v>85</v>
      </c>
    </row>
    <row r="16" spans="2:12" ht="84.9" x14ac:dyDescent="0.35">
      <c r="B16" s="170"/>
      <c r="C16" s="13" t="s">
        <v>86</v>
      </c>
      <c r="D16" s="13" t="s">
        <v>87</v>
      </c>
      <c r="E16" s="13" t="s">
        <v>88</v>
      </c>
      <c r="F16" s="13" t="s">
        <v>89</v>
      </c>
      <c r="G16" s="14" t="s">
        <v>90</v>
      </c>
      <c r="H16" s="14">
        <v>1</v>
      </c>
      <c r="I16" s="14" t="s">
        <v>135</v>
      </c>
      <c r="J16" s="14" t="s">
        <v>92</v>
      </c>
      <c r="K16" s="13" t="s">
        <v>93</v>
      </c>
      <c r="L16" s="16" t="s">
        <v>94</v>
      </c>
    </row>
    <row r="17" spans="2:12" ht="70.75" x14ac:dyDescent="0.35">
      <c r="B17" s="170"/>
      <c r="C17" s="13" t="s">
        <v>95</v>
      </c>
      <c r="D17" s="13" t="s">
        <v>96</v>
      </c>
      <c r="E17" s="13" t="s">
        <v>97</v>
      </c>
      <c r="F17" s="13" t="s">
        <v>98</v>
      </c>
      <c r="G17" s="14" t="s">
        <v>99</v>
      </c>
      <c r="H17" s="14" t="s">
        <v>99</v>
      </c>
      <c r="I17" s="14" t="s">
        <v>136</v>
      </c>
      <c r="J17" s="14" t="s">
        <v>130</v>
      </c>
      <c r="K17" s="13" t="s">
        <v>102</v>
      </c>
      <c r="L17" s="16" t="s">
        <v>103</v>
      </c>
    </row>
    <row r="18" spans="2:12" ht="42.45" x14ac:dyDescent="0.35">
      <c r="B18" s="170"/>
      <c r="C18" s="13" t="s">
        <v>104</v>
      </c>
      <c r="D18" s="13" t="s">
        <v>105</v>
      </c>
      <c r="E18" s="13" t="s">
        <v>79</v>
      </c>
      <c r="F18" s="13" t="s">
        <v>106</v>
      </c>
      <c r="G18" s="14" t="s">
        <v>107</v>
      </c>
      <c r="H18" s="14">
        <v>1</v>
      </c>
      <c r="I18" s="14" t="s">
        <v>137</v>
      </c>
      <c r="J18" s="14" t="s">
        <v>130</v>
      </c>
      <c r="K18" s="13" t="s">
        <v>1737</v>
      </c>
      <c r="L18" s="16" t="s">
        <v>110</v>
      </c>
    </row>
    <row r="19" spans="2:12" ht="70.75" x14ac:dyDescent="0.35">
      <c r="B19" s="170"/>
      <c r="C19" s="13" t="s">
        <v>111</v>
      </c>
      <c r="D19" s="13" t="s">
        <v>112</v>
      </c>
      <c r="E19" s="13" t="s">
        <v>79</v>
      </c>
      <c r="F19" s="13" t="s">
        <v>113</v>
      </c>
      <c r="G19" s="14" t="s">
        <v>114</v>
      </c>
      <c r="H19" s="14">
        <v>3</v>
      </c>
      <c r="I19" s="14" t="s">
        <v>138</v>
      </c>
      <c r="J19" s="14" t="s">
        <v>116</v>
      </c>
      <c r="K19" s="13" t="s">
        <v>117</v>
      </c>
      <c r="L19" s="16" t="s">
        <v>118</v>
      </c>
    </row>
    <row r="20" spans="2:12" ht="71.150000000000006" thickBot="1" x14ac:dyDescent="0.4">
      <c r="B20" s="171"/>
      <c r="C20" s="17" t="s">
        <v>119</v>
      </c>
      <c r="D20" s="17" t="s">
        <v>120</v>
      </c>
      <c r="E20" s="17" t="s">
        <v>97</v>
      </c>
      <c r="F20" s="17" t="s">
        <v>121</v>
      </c>
      <c r="G20" s="18" t="s">
        <v>139</v>
      </c>
      <c r="H20" s="18" t="s">
        <v>139</v>
      </c>
      <c r="I20" s="18" t="s">
        <v>140</v>
      </c>
      <c r="J20" s="18" t="s">
        <v>141</v>
      </c>
      <c r="K20" s="17" t="s">
        <v>126</v>
      </c>
      <c r="L20" s="19" t="s">
        <v>127</v>
      </c>
    </row>
    <row r="21" spans="2:12" ht="14.6" thickBot="1" x14ac:dyDescent="0.4"/>
    <row r="22" spans="2:12" ht="70.75" x14ac:dyDescent="0.35">
      <c r="B22" s="173" t="s">
        <v>1852</v>
      </c>
      <c r="C22" s="8" t="s">
        <v>65</v>
      </c>
      <c r="D22" s="8" t="s">
        <v>66</v>
      </c>
      <c r="E22" s="8" t="s">
        <v>67</v>
      </c>
      <c r="F22" s="8" t="s">
        <v>68</v>
      </c>
      <c r="G22" s="9" t="s">
        <v>142</v>
      </c>
      <c r="H22" s="9">
        <v>597.64</v>
      </c>
      <c r="I22" s="9" t="s">
        <v>143</v>
      </c>
      <c r="J22" s="9" t="s">
        <v>144</v>
      </c>
      <c r="K22" s="8" t="s">
        <v>1735</v>
      </c>
      <c r="L22" s="11" t="s">
        <v>72</v>
      </c>
    </row>
    <row r="23" spans="2:12" ht="56.6" x14ac:dyDescent="0.35">
      <c r="B23" s="170"/>
      <c r="C23" s="13" t="s">
        <v>73</v>
      </c>
      <c r="D23" s="13" t="s">
        <v>74</v>
      </c>
      <c r="E23" s="13" t="s">
        <v>67</v>
      </c>
      <c r="F23" s="13" t="s">
        <v>68</v>
      </c>
      <c r="G23" s="14" t="s">
        <v>145</v>
      </c>
      <c r="H23" s="14">
        <v>328.45</v>
      </c>
      <c r="I23" s="14" t="s">
        <v>146</v>
      </c>
      <c r="J23" s="14" t="s">
        <v>147</v>
      </c>
      <c r="K23" s="13" t="s">
        <v>1736</v>
      </c>
      <c r="L23" s="16" t="s">
        <v>72</v>
      </c>
    </row>
    <row r="24" spans="2:12" ht="127.3" x14ac:dyDescent="0.35">
      <c r="B24" s="170"/>
      <c r="C24" s="13" t="s">
        <v>77</v>
      </c>
      <c r="D24" s="13" t="s">
        <v>78</v>
      </c>
      <c r="E24" s="13" t="s">
        <v>79</v>
      </c>
      <c r="F24" s="13" t="s">
        <v>80</v>
      </c>
      <c r="G24" s="14" t="s">
        <v>81</v>
      </c>
      <c r="H24" s="14">
        <v>2</v>
      </c>
      <c r="I24" s="14" t="s">
        <v>148</v>
      </c>
      <c r="J24" s="14" t="s">
        <v>149</v>
      </c>
      <c r="K24" s="13" t="s">
        <v>84</v>
      </c>
      <c r="L24" s="16" t="s">
        <v>85</v>
      </c>
    </row>
    <row r="25" spans="2:12" ht="84.9" x14ac:dyDescent="0.35">
      <c r="B25" s="170"/>
      <c r="C25" s="13" t="s">
        <v>86</v>
      </c>
      <c r="D25" s="13" t="s">
        <v>87</v>
      </c>
      <c r="E25" s="13" t="s">
        <v>88</v>
      </c>
      <c r="F25" s="13" t="s">
        <v>89</v>
      </c>
      <c r="G25" s="14" t="s">
        <v>90</v>
      </c>
      <c r="H25" s="14">
        <v>1</v>
      </c>
      <c r="I25" s="14" t="s">
        <v>150</v>
      </c>
      <c r="J25" s="14" t="s">
        <v>151</v>
      </c>
      <c r="K25" s="13" t="s">
        <v>93</v>
      </c>
      <c r="L25" s="16" t="s">
        <v>94</v>
      </c>
    </row>
    <row r="26" spans="2:12" ht="63.9" customHeight="1" x14ac:dyDescent="0.35">
      <c r="B26" s="170"/>
      <c r="C26" s="13" t="s">
        <v>95</v>
      </c>
      <c r="D26" s="13" t="s">
        <v>96</v>
      </c>
      <c r="E26" s="13" t="s">
        <v>97</v>
      </c>
      <c r="F26" s="13" t="s">
        <v>98</v>
      </c>
      <c r="G26" s="14" t="s">
        <v>99</v>
      </c>
      <c r="H26" s="14" t="s">
        <v>99</v>
      </c>
      <c r="I26" s="14" t="s">
        <v>152</v>
      </c>
      <c r="J26" s="14" t="s">
        <v>147</v>
      </c>
      <c r="K26" s="13" t="s">
        <v>102</v>
      </c>
      <c r="L26" s="16" t="s">
        <v>103</v>
      </c>
    </row>
    <row r="27" spans="2:12" ht="42.45" x14ac:dyDescent="0.35">
      <c r="B27" s="170"/>
      <c r="C27" s="13" t="s">
        <v>104</v>
      </c>
      <c r="D27" s="13" t="s">
        <v>105</v>
      </c>
      <c r="E27" s="13" t="s">
        <v>79</v>
      </c>
      <c r="F27" s="13" t="s">
        <v>106</v>
      </c>
      <c r="G27" s="14" t="s">
        <v>107</v>
      </c>
      <c r="H27" s="14">
        <v>1</v>
      </c>
      <c r="I27" s="14" t="s">
        <v>153</v>
      </c>
      <c r="J27" s="14" t="s">
        <v>154</v>
      </c>
      <c r="K27" s="13" t="s">
        <v>1737</v>
      </c>
      <c r="L27" s="16" t="s">
        <v>110</v>
      </c>
    </row>
    <row r="28" spans="2:12" ht="84.9" x14ac:dyDescent="0.35">
      <c r="B28" s="170"/>
      <c r="C28" s="13" t="s">
        <v>111</v>
      </c>
      <c r="D28" s="13" t="s">
        <v>112</v>
      </c>
      <c r="E28" s="13" t="s">
        <v>79</v>
      </c>
      <c r="F28" s="13" t="s">
        <v>113</v>
      </c>
      <c r="G28" s="14" t="s">
        <v>114</v>
      </c>
      <c r="H28" s="14">
        <v>3</v>
      </c>
      <c r="I28" s="14" t="s">
        <v>155</v>
      </c>
      <c r="J28" s="14" t="s">
        <v>156</v>
      </c>
      <c r="K28" s="13" t="s">
        <v>117</v>
      </c>
      <c r="L28" s="16" t="s">
        <v>118</v>
      </c>
    </row>
    <row r="29" spans="2:12" ht="127.75" thickBot="1" x14ac:dyDescent="0.4">
      <c r="B29" s="171"/>
      <c r="C29" s="17" t="s">
        <v>119</v>
      </c>
      <c r="D29" s="17" t="s">
        <v>120</v>
      </c>
      <c r="E29" s="17" t="s">
        <v>97</v>
      </c>
      <c r="F29" s="17" t="s">
        <v>121</v>
      </c>
      <c r="G29" s="18" t="s">
        <v>139</v>
      </c>
      <c r="H29" s="18" t="s">
        <v>139</v>
      </c>
      <c r="I29" s="18" t="s">
        <v>157</v>
      </c>
      <c r="J29" s="18" t="s">
        <v>158</v>
      </c>
      <c r="K29" s="17" t="s">
        <v>126</v>
      </c>
      <c r="L29" s="19" t="s">
        <v>127</v>
      </c>
    </row>
    <row r="30" spans="2:12" ht="14.6" thickBot="1" x14ac:dyDescent="0.4"/>
    <row r="31" spans="2:12" ht="70.75" x14ac:dyDescent="0.35">
      <c r="B31" s="169" t="s">
        <v>1785</v>
      </c>
      <c r="C31" s="8" t="s">
        <v>65</v>
      </c>
      <c r="D31" s="8" t="s">
        <v>66</v>
      </c>
      <c r="E31" s="8" t="s">
        <v>67</v>
      </c>
      <c r="F31" s="8" t="s">
        <v>68</v>
      </c>
      <c r="G31" s="9" t="s">
        <v>159</v>
      </c>
      <c r="H31" s="10">
        <v>365.8</v>
      </c>
      <c r="I31" s="9" t="s">
        <v>160</v>
      </c>
      <c r="J31" s="9" t="s">
        <v>161</v>
      </c>
      <c r="K31" s="8" t="s">
        <v>1735</v>
      </c>
      <c r="L31" s="11" t="s">
        <v>72</v>
      </c>
    </row>
    <row r="32" spans="2:12" ht="56.6" x14ac:dyDescent="0.35">
      <c r="B32" s="170"/>
      <c r="C32" s="13" t="s">
        <v>73</v>
      </c>
      <c r="D32" s="13" t="s">
        <v>74</v>
      </c>
      <c r="E32" s="13" t="s">
        <v>67</v>
      </c>
      <c r="F32" s="13" t="s">
        <v>68</v>
      </c>
      <c r="G32" s="14" t="s">
        <v>162</v>
      </c>
      <c r="H32" s="15">
        <v>195.6</v>
      </c>
      <c r="I32" s="14" t="s">
        <v>163</v>
      </c>
      <c r="J32" s="14"/>
      <c r="K32" s="13" t="s">
        <v>1736</v>
      </c>
      <c r="L32" s="16" t="s">
        <v>72</v>
      </c>
    </row>
    <row r="33" spans="2:12" ht="99" x14ac:dyDescent="0.35">
      <c r="B33" s="170"/>
      <c r="C33" s="13" t="s">
        <v>77</v>
      </c>
      <c r="D33" s="13" t="s">
        <v>78</v>
      </c>
      <c r="E33" s="13" t="s">
        <v>79</v>
      </c>
      <c r="F33" s="13" t="s">
        <v>80</v>
      </c>
      <c r="G33" s="14" t="s">
        <v>164</v>
      </c>
      <c r="H33" s="14">
        <v>1</v>
      </c>
      <c r="I33" s="14" t="s">
        <v>165</v>
      </c>
      <c r="J33" s="14" t="s">
        <v>166</v>
      </c>
      <c r="K33" s="13" t="s">
        <v>84</v>
      </c>
      <c r="L33" s="16" t="s">
        <v>85</v>
      </c>
    </row>
    <row r="34" spans="2:12" ht="84.9" x14ac:dyDescent="0.35">
      <c r="B34" s="170"/>
      <c r="C34" s="13" t="s">
        <v>86</v>
      </c>
      <c r="D34" s="13" t="s">
        <v>87</v>
      </c>
      <c r="E34" s="13" t="s">
        <v>88</v>
      </c>
      <c r="F34" s="13" t="s">
        <v>89</v>
      </c>
      <c r="G34" s="14" t="s">
        <v>90</v>
      </c>
      <c r="H34" s="14">
        <v>1</v>
      </c>
      <c r="I34" s="14" t="s">
        <v>167</v>
      </c>
      <c r="J34" s="14" t="s">
        <v>168</v>
      </c>
      <c r="K34" s="13" t="s">
        <v>93</v>
      </c>
      <c r="L34" s="16" t="s">
        <v>94</v>
      </c>
    </row>
    <row r="35" spans="2:12" ht="70.75" x14ac:dyDescent="0.35">
      <c r="B35" s="170"/>
      <c r="C35" s="13" t="s">
        <v>95</v>
      </c>
      <c r="D35" s="13" t="s">
        <v>96</v>
      </c>
      <c r="E35" s="13" t="s">
        <v>97</v>
      </c>
      <c r="F35" s="13" t="s">
        <v>98</v>
      </c>
      <c r="G35" s="14" t="s">
        <v>99</v>
      </c>
      <c r="H35" s="14" t="s">
        <v>99</v>
      </c>
      <c r="I35" s="14" t="s">
        <v>169</v>
      </c>
      <c r="J35" s="14" t="s">
        <v>166</v>
      </c>
      <c r="K35" s="13" t="s">
        <v>102</v>
      </c>
      <c r="L35" s="16" t="s">
        <v>103</v>
      </c>
    </row>
    <row r="36" spans="2:12" ht="42.45" x14ac:dyDescent="0.35">
      <c r="B36" s="170"/>
      <c r="C36" s="13" t="s">
        <v>104</v>
      </c>
      <c r="D36" s="13" t="s">
        <v>105</v>
      </c>
      <c r="E36" s="13" t="s">
        <v>79</v>
      </c>
      <c r="F36" s="13" t="s">
        <v>106</v>
      </c>
      <c r="G36" s="14" t="s">
        <v>107</v>
      </c>
      <c r="H36" s="14">
        <v>1</v>
      </c>
      <c r="I36" s="14" t="s">
        <v>170</v>
      </c>
      <c r="J36" s="14" t="s">
        <v>171</v>
      </c>
      <c r="K36" s="13" t="s">
        <v>1737</v>
      </c>
      <c r="L36" s="16" t="s">
        <v>110</v>
      </c>
    </row>
    <row r="37" spans="2:12" ht="127.3" x14ac:dyDescent="0.35">
      <c r="B37" s="170"/>
      <c r="C37" s="13" t="s">
        <v>111</v>
      </c>
      <c r="D37" s="13" t="s">
        <v>112</v>
      </c>
      <c r="E37" s="13" t="s">
        <v>79</v>
      </c>
      <c r="F37" s="13" t="s">
        <v>113</v>
      </c>
      <c r="G37" s="14" t="s">
        <v>114</v>
      </c>
      <c r="H37" s="14">
        <v>3</v>
      </c>
      <c r="I37" s="14" t="s">
        <v>1850</v>
      </c>
      <c r="J37" s="14" t="s">
        <v>1849</v>
      </c>
      <c r="K37" s="13" t="s">
        <v>117</v>
      </c>
      <c r="L37" s="16" t="s">
        <v>118</v>
      </c>
    </row>
    <row r="38" spans="2:12" ht="71.150000000000006" thickBot="1" x14ac:dyDescent="0.4">
      <c r="B38" s="171"/>
      <c r="C38" s="17" t="s">
        <v>119</v>
      </c>
      <c r="D38" s="17" t="s">
        <v>120</v>
      </c>
      <c r="E38" s="17" t="s">
        <v>97</v>
      </c>
      <c r="F38" s="17" t="s">
        <v>121</v>
      </c>
      <c r="G38" s="18" t="s">
        <v>172</v>
      </c>
      <c r="H38" s="18" t="s">
        <v>173</v>
      </c>
      <c r="I38" s="18" t="s">
        <v>174</v>
      </c>
      <c r="J38" s="18" t="s">
        <v>125</v>
      </c>
      <c r="K38" s="17" t="s">
        <v>126</v>
      </c>
      <c r="L38" s="19" t="s">
        <v>127</v>
      </c>
    </row>
    <row r="39" spans="2:12" ht="14.6" thickBot="1" x14ac:dyDescent="0.4"/>
    <row r="40" spans="2:12" ht="70.75" x14ac:dyDescent="0.35">
      <c r="B40" s="169" t="s">
        <v>1786</v>
      </c>
      <c r="C40" s="8" t="s">
        <v>65</v>
      </c>
      <c r="D40" s="8" t="s">
        <v>66</v>
      </c>
      <c r="E40" s="8" t="s">
        <v>67</v>
      </c>
      <c r="F40" s="8" t="s">
        <v>68</v>
      </c>
      <c r="G40" s="9" t="s">
        <v>175</v>
      </c>
      <c r="H40" s="9">
        <v>814.86</v>
      </c>
      <c r="I40" s="9" t="s">
        <v>176</v>
      </c>
      <c r="J40" s="9" t="s">
        <v>177</v>
      </c>
      <c r="K40" s="8" t="s">
        <v>1735</v>
      </c>
      <c r="L40" s="11" t="s">
        <v>72</v>
      </c>
    </row>
    <row r="41" spans="2:12" ht="56.6" x14ac:dyDescent="0.35">
      <c r="B41" s="170"/>
      <c r="C41" s="13" t="s">
        <v>73</v>
      </c>
      <c r="D41" s="13" t="s">
        <v>74</v>
      </c>
      <c r="E41" s="13" t="s">
        <v>67</v>
      </c>
      <c r="F41" s="13" t="s">
        <v>68</v>
      </c>
      <c r="G41" s="14" t="s">
        <v>178</v>
      </c>
      <c r="H41" s="14">
        <v>472.57</v>
      </c>
      <c r="I41" s="14" t="s">
        <v>179</v>
      </c>
      <c r="J41" s="14" t="s">
        <v>180</v>
      </c>
      <c r="K41" s="13" t="s">
        <v>1736</v>
      </c>
      <c r="L41" s="16" t="s">
        <v>72</v>
      </c>
    </row>
    <row r="42" spans="2:12" ht="99" x14ac:dyDescent="0.35">
      <c r="B42" s="170"/>
      <c r="C42" s="13" t="s">
        <v>77</v>
      </c>
      <c r="D42" s="13" t="s">
        <v>78</v>
      </c>
      <c r="E42" s="13" t="s">
        <v>79</v>
      </c>
      <c r="F42" s="13" t="s">
        <v>80</v>
      </c>
      <c r="G42" s="14" t="s">
        <v>81</v>
      </c>
      <c r="H42" s="14">
        <v>2</v>
      </c>
      <c r="I42" s="14" t="s">
        <v>181</v>
      </c>
      <c r="J42" s="14" t="s">
        <v>182</v>
      </c>
      <c r="K42" s="13" t="s">
        <v>84</v>
      </c>
      <c r="L42" s="16" t="s">
        <v>85</v>
      </c>
    </row>
    <row r="43" spans="2:12" ht="84.9" x14ac:dyDescent="0.35">
      <c r="B43" s="170"/>
      <c r="C43" s="13" t="s">
        <v>86</v>
      </c>
      <c r="D43" s="13" t="s">
        <v>87</v>
      </c>
      <c r="E43" s="13" t="s">
        <v>88</v>
      </c>
      <c r="F43" s="13" t="s">
        <v>89</v>
      </c>
      <c r="G43" s="14" t="s">
        <v>90</v>
      </c>
      <c r="H43" s="14">
        <v>1</v>
      </c>
      <c r="I43" s="14" t="s">
        <v>183</v>
      </c>
      <c r="J43" s="14" t="s">
        <v>184</v>
      </c>
      <c r="K43" s="13" t="s">
        <v>93</v>
      </c>
      <c r="L43" s="16" t="s">
        <v>94</v>
      </c>
    </row>
    <row r="44" spans="2:12" ht="70.75" x14ac:dyDescent="0.35">
      <c r="B44" s="170"/>
      <c r="C44" s="13" t="s">
        <v>95</v>
      </c>
      <c r="D44" s="13" t="s">
        <v>96</v>
      </c>
      <c r="E44" s="13" t="s">
        <v>97</v>
      </c>
      <c r="F44" s="13" t="s">
        <v>98</v>
      </c>
      <c r="G44" s="14" t="s">
        <v>99</v>
      </c>
      <c r="H44" s="14" t="s">
        <v>99</v>
      </c>
      <c r="I44" s="14" t="s">
        <v>185</v>
      </c>
      <c r="J44" s="14" t="s">
        <v>186</v>
      </c>
      <c r="K44" s="13" t="s">
        <v>102</v>
      </c>
      <c r="L44" s="16" t="s">
        <v>103</v>
      </c>
    </row>
    <row r="45" spans="2:12" ht="42.45" x14ac:dyDescent="0.35">
      <c r="B45" s="170"/>
      <c r="C45" s="13" t="s">
        <v>104</v>
      </c>
      <c r="D45" s="13" t="s">
        <v>105</v>
      </c>
      <c r="E45" s="13" t="s">
        <v>79</v>
      </c>
      <c r="F45" s="13" t="s">
        <v>106</v>
      </c>
      <c r="G45" s="14" t="s">
        <v>107</v>
      </c>
      <c r="H45" s="14">
        <v>1</v>
      </c>
      <c r="I45" s="14" t="s">
        <v>187</v>
      </c>
      <c r="J45" s="14" t="s">
        <v>188</v>
      </c>
      <c r="K45" s="13" t="s">
        <v>1737</v>
      </c>
      <c r="L45" s="16" t="s">
        <v>110</v>
      </c>
    </row>
    <row r="46" spans="2:12" ht="70.75" x14ac:dyDescent="0.35">
      <c r="B46" s="170"/>
      <c r="C46" s="13" t="s">
        <v>111</v>
      </c>
      <c r="D46" s="13" t="s">
        <v>112</v>
      </c>
      <c r="E46" s="13" t="s">
        <v>79</v>
      </c>
      <c r="F46" s="13" t="s">
        <v>113</v>
      </c>
      <c r="G46" s="14" t="s">
        <v>189</v>
      </c>
      <c r="H46" s="14">
        <v>2</v>
      </c>
      <c r="I46" s="14" t="s">
        <v>190</v>
      </c>
      <c r="J46" s="14" t="s">
        <v>116</v>
      </c>
      <c r="K46" s="13" t="s">
        <v>117</v>
      </c>
      <c r="L46" s="16" t="s">
        <v>118</v>
      </c>
    </row>
    <row r="47" spans="2:12" ht="85.3" thickBot="1" x14ac:dyDescent="0.4">
      <c r="B47" s="171"/>
      <c r="C47" s="17" t="s">
        <v>119</v>
      </c>
      <c r="D47" s="17" t="s">
        <v>120</v>
      </c>
      <c r="E47" s="17" t="s">
        <v>97</v>
      </c>
      <c r="F47" s="17" t="s">
        <v>121</v>
      </c>
      <c r="G47" s="18" t="s">
        <v>122</v>
      </c>
      <c r="H47" s="18" t="s">
        <v>123</v>
      </c>
      <c r="I47" s="18" t="s">
        <v>191</v>
      </c>
      <c r="J47" s="18" t="s">
        <v>125</v>
      </c>
      <c r="K47" s="17" t="s">
        <v>126</v>
      </c>
      <c r="L47" s="19" t="s">
        <v>127</v>
      </c>
    </row>
    <row r="48" spans="2:12" ht="14.6" thickBot="1" x14ac:dyDescent="0.4"/>
    <row r="49" spans="2:12" ht="70.75" x14ac:dyDescent="0.35">
      <c r="B49" s="169" t="s">
        <v>1787</v>
      </c>
      <c r="C49" s="8" t="s">
        <v>65</v>
      </c>
      <c r="D49" s="8" t="s">
        <v>66</v>
      </c>
      <c r="E49" s="8" t="s">
        <v>67</v>
      </c>
      <c r="F49" s="8" t="s">
        <v>68</v>
      </c>
      <c r="G49" s="9" t="s">
        <v>192</v>
      </c>
      <c r="H49" s="10">
        <v>422.46</v>
      </c>
      <c r="I49" s="9" t="s">
        <v>193</v>
      </c>
      <c r="J49" s="9" t="s">
        <v>194</v>
      </c>
      <c r="K49" s="8" t="s">
        <v>1735</v>
      </c>
      <c r="L49" s="11" t="s">
        <v>72</v>
      </c>
    </row>
    <row r="50" spans="2:12" ht="56.6" x14ac:dyDescent="0.35">
      <c r="B50" s="170"/>
      <c r="C50" s="13" t="s">
        <v>73</v>
      </c>
      <c r="D50" s="13" t="s">
        <v>74</v>
      </c>
      <c r="E50" s="13" t="s">
        <v>67</v>
      </c>
      <c r="F50" s="13" t="s">
        <v>68</v>
      </c>
      <c r="G50" s="14" t="s">
        <v>195</v>
      </c>
      <c r="H50" s="15">
        <v>213.15</v>
      </c>
      <c r="I50" s="14" t="s">
        <v>196</v>
      </c>
      <c r="J50" s="14" t="s">
        <v>197</v>
      </c>
      <c r="K50" s="13" t="s">
        <v>1736</v>
      </c>
      <c r="L50" s="16" t="s">
        <v>72</v>
      </c>
    </row>
    <row r="51" spans="2:12" ht="127.3" x14ac:dyDescent="0.35">
      <c r="B51" s="170"/>
      <c r="C51" s="13" t="s">
        <v>77</v>
      </c>
      <c r="D51" s="13" t="s">
        <v>78</v>
      </c>
      <c r="E51" s="13" t="s">
        <v>79</v>
      </c>
      <c r="F51" s="13" t="s">
        <v>80</v>
      </c>
      <c r="G51" s="14" t="s">
        <v>81</v>
      </c>
      <c r="H51" s="14">
        <v>2</v>
      </c>
      <c r="I51" s="14" t="s">
        <v>198</v>
      </c>
      <c r="J51" s="14" t="s">
        <v>199</v>
      </c>
      <c r="K51" s="13" t="s">
        <v>84</v>
      </c>
      <c r="L51" s="16" t="s">
        <v>85</v>
      </c>
    </row>
    <row r="52" spans="2:12" ht="84.9" x14ac:dyDescent="0.35">
      <c r="B52" s="170"/>
      <c r="C52" s="13" t="s">
        <v>86</v>
      </c>
      <c r="D52" s="13" t="s">
        <v>87</v>
      </c>
      <c r="E52" s="13" t="s">
        <v>88</v>
      </c>
      <c r="F52" s="13" t="s">
        <v>89</v>
      </c>
      <c r="G52" s="14" t="s">
        <v>90</v>
      </c>
      <c r="H52" s="14">
        <v>1</v>
      </c>
      <c r="I52" s="14" t="s">
        <v>200</v>
      </c>
      <c r="J52" s="14" t="s">
        <v>201</v>
      </c>
      <c r="K52" s="13" t="s">
        <v>93</v>
      </c>
      <c r="L52" s="16" t="s">
        <v>94</v>
      </c>
    </row>
    <row r="53" spans="2:12" ht="70.75" x14ac:dyDescent="0.35">
      <c r="B53" s="170"/>
      <c r="C53" s="13" t="s">
        <v>95</v>
      </c>
      <c r="D53" s="13" t="s">
        <v>96</v>
      </c>
      <c r="E53" s="13" t="s">
        <v>97</v>
      </c>
      <c r="F53" s="13" t="s">
        <v>98</v>
      </c>
      <c r="G53" s="14" t="s">
        <v>99</v>
      </c>
      <c r="H53" s="14" t="s">
        <v>99</v>
      </c>
      <c r="I53" s="14" t="s">
        <v>202</v>
      </c>
      <c r="J53" s="14" t="s">
        <v>203</v>
      </c>
      <c r="K53" s="13" t="s">
        <v>102</v>
      </c>
      <c r="L53" s="16" t="s">
        <v>103</v>
      </c>
    </row>
    <row r="54" spans="2:12" ht="42.45" x14ac:dyDescent="0.35">
      <c r="B54" s="170"/>
      <c r="C54" s="13" t="s">
        <v>104</v>
      </c>
      <c r="D54" s="13" t="s">
        <v>105</v>
      </c>
      <c r="E54" s="13" t="s">
        <v>79</v>
      </c>
      <c r="F54" s="13" t="s">
        <v>106</v>
      </c>
      <c r="G54" s="14" t="s">
        <v>107</v>
      </c>
      <c r="H54" s="14">
        <v>1</v>
      </c>
      <c r="I54" s="14" t="s">
        <v>204</v>
      </c>
      <c r="J54" s="14" t="s">
        <v>197</v>
      </c>
      <c r="K54" s="13" t="s">
        <v>1737</v>
      </c>
      <c r="L54" s="16" t="s">
        <v>110</v>
      </c>
    </row>
    <row r="55" spans="2:12" ht="84.9" x14ac:dyDescent="0.35">
      <c r="B55" s="170"/>
      <c r="C55" s="13" t="s">
        <v>111</v>
      </c>
      <c r="D55" s="13" t="s">
        <v>112</v>
      </c>
      <c r="E55" s="13" t="s">
        <v>79</v>
      </c>
      <c r="F55" s="13" t="s">
        <v>113</v>
      </c>
      <c r="G55" s="14" t="s">
        <v>189</v>
      </c>
      <c r="H55" s="14">
        <v>2</v>
      </c>
      <c r="I55" s="14" t="s">
        <v>205</v>
      </c>
      <c r="J55" s="14" t="s">
        <v>116</v>
      </c>
      <c r="K55" s="13" t="s">
        <v>117</v>
      </c>
      <c r="L55" s="16" t="s">
        <v>118</v>
      </c>
    </row>
    <row r="56" spans="2:12" ht="85.3" thickBot="1" x14ac:dyDescent="0.4">
      <c r="B56" s="171"/>
      <c r="C56" s="17" t="s">
        <v>119</v>
      </c>
      <c r="D56" s="17" t="s">
        <v>120</v>
      </c>
      <c r="E56" s="17" t="s">
        <v>97</v>
      </c>
      <c r="F56" s="17" t="s">
        <v>121</v>
      </c>
      <c r="G56" s="18" t="s">
        <v>122</v>
      </c>
      <c r="H56" s="18" t="s">
        <v>123</v>
      </c>
      <c r="I56" s="18" t="s">
        <v>206</v>
      </c>
      <c r="J56" s="18" t="s">
        <v>125</v>
      </c>
      <c r="K56" s="17" t="s">
        <v>126</v>
      </c>
      <c r="L56" s="19" t="s">
        <v>127</v>
      </c>
    </row>
    <row r="57" spans="2:12" ht="15.9" thickBot="1" x14ac:dyDescent="0.4">
      <c r="B57" s="20"/>
      <c r="D57" s="117"/>
      <c r="L57" s="21"/>
    </row>
    <row r="58" spans="2:12" ht="70.75" x14ac:dyDescent="0.35">
      <c r="B58" s="173" t="s">
        <v>1851</v>
      </c>
      <c r="C58" s="8" t="s">
        <v>65</v>
      </c>
      <c r="D58" s="8" t="s">
        <v>66</v>
      </c>
      <c r="E58" s="8" t="s">
        <v>67</v>
      </c>
      <c r="F58" s="8" t="s">
        <v>68</v>
      </c>
      <c r="G58" s="9" t="s">
        <v>207</v>
      </c>
      <c r="H58" s="10">
        <v>515.5</v>
      </c>
      <c r="I58" s="9" t="s">
        <v>208</v>
      </c>
      <c r="J58" s="9" t="s">
        <v>209</v>
      </c>
      <c r="K58" s="8" t="s">
        <v>1735</v>
      </c>
      <c r="L58" s="11" t="s">
        <v>72</v>
      </c>
    </row>
    <row r="59" spans="2:12" ht="56.6" x14ac:dyDescent="0.35">
      <c r="B59" s="170"/>
      <c r="C59" s="13" t="s">
        <v>73</v>
      </c>
      <c r="D59" s="13" t="s">
        <v>74</v>
      </c>
      <c r="E59" s="13" t="s">
        <v>67</v>
      </c>
      <c r="F59" s="13" t="s">
        <v>68</v>
      </c>
      <c r="G59" s="14" t="s">
        <v>210</v>
      </c>
      <c r="H59" s="15">
        <v>219.83</v>
      </c>
      <c r="I59" s="14" t="s">
        <v>211</v>
      </c>
      <c r="J59" s="14" t="s">
        <v>212</v>
      </c>
      <c r="K59" s="13" t="s">
        <v>1736</v>
      </c>
      <c r="L59" s="16" t="s">
        <v>72</v>
      </c>
    </row>
    <row r="60" spans="2:12" ht="113.15" x14ac:dyDescent="0.35">
      <c r="B60" s="170"/>
      <c r="C60" s="13" t="s">
        <v>77</v>
      </c>
      <c r="D60" s="13" t="s">
        <v>78</v>
      </c>
      <c r="E60" s="13" t="s">
        <v>79</v>
      </c>
      <c r="F60" s="13" t="s">
        <v>80</v>
      </c>
      <c r="G60" s="14" t="s">
        <v>164</v>
      </c>
      <c r="H60" s="14">
        <v>1</v>
      </c>
      <c r="I60" s="14" t="s">
        <v>213</v>
      </c>
      <c r="J60" s="14" t="s">
        <v>214</v>
      </c>
      <c r="K60" s="13" t="s">
        <v>84</v>
      </c>
      <c r="L60" s="16" t="s">
        <v>85</v>
      </c>
    </row>
    <row r="61" spans="2:12" ht="84.9" x14ac:dyDescent="0.35">
      <c r="B61" s="170"/>
      <c r="C61" s="13" t="s">
        <v>86</v>
      </c>
      <c r="D61" s="13" t="s">
        <v>87</v>
      </c>
      <c r="E61" s="13" t="s">
        <v>88</v>
      </c>
      <c r="F61" s="13" t="s">
        <v>89</v>
      </c>
      <c r="G61" s="14" t="s">
        <v>90</v>
      </c>
      <c r="H61" s="14">
        <v>1</v>
      </c>
      <c r="I61" s="14" t="s">
        <v>215</v>
      </c>
      <c r="J61" s="14" t="s">
        <v>216</v>
      </c>
      <c r="K61" s="13" t="s">
        <v>93</v>
      </c>
      <c r="L61" s="16" t="s">
        <v>94</v>
      </c>
    </row>
    <row r="62" spans="2:12" ht="70.75" x14ac:dyDescent="0.35">
      <c r="B62" s="170"/>
      <c r="C62" s="13" t="s">
        <v>95</v>
      </c>
      <c r="D62" s="13" t="s">
        <v>96</v>
      </c>
      <c r="E62" s="13" t="s">
        <v>97</v>
      </c>
      <c r="F62" s="13" t="s">
        <v>98</v>
      </c>
      <c r="G62" s="14" t="s">
        <v>99</v>
      </c>
      <c r="H62" s="14" t="s">
        <v>99</v>
      </c>
      <c r="I62" s="14" t="s">
        <v>217</v>
      </c>
      <c r="J62" s="14" t="s">
        <v>209</v>
      </c>
      <c r="K62" s="13" t="s">
        <v>102</v>
      </c>
      <c r="L62" s="16" t="s">
        <v>103</v>
      </c>
    </row>
    <row r="63" spans="2:12" ht="42.45" x14ac:dyDescent="0.35">
      <c r="B63" s="170"/>
      <c r="C63" s="13" t="s">
        <v>104</v>
      </c>
      <c r="D63" s="13" t="s">
        <v>105</v>
      </c>
      <c r="E63" s="13" t="s">
        <v>79</v>
      </c>
      <c r="F63" s="13" t="s">
        <v>106</v>
      </c>
      <c r="G63" s="14" t="s">
        <v>218</v>
      </c>
      <c r="H63" s="14">
        <v>3</v>
      </c>
      <c r="I63" s="14" t="s">
        <v>219</v>
      </c>
      <c r="J63" s="14" t="s">
        <v>220</v>
      </c>
      <c r="K63" s="13" t="s">
        <v>1737</v>
      </c>
      <c r="L63" s="16" t="s">
        <v>110</v>
      </c>
    </row>
    <row r="64" spans="2:12" ht="113.15" x14ac:dyDescent="0.35">
      <c r="B64" s="170"/>
      <c r="C64" s="13" t="s">
        <v>111</v>
      </c>
      <c r="D64" s="13" t="s">
        <v>112</v>
      </c>
      <c r="E64" s="13" t="s">
        <v>79</v>
      </c>
      <c r="F64" s="13" t="s">
        <v>113</v>
      </c>
      <c r="G64" s="14" t="s">
        <v>189</v>
      </c>
      <c r="H64" s="14">
        <v>2</v>
      </c>
      <c r="I64" s="14" t="s">
        <v>1865</v>
      </c>
      <c r="J64" s="14" t="s">
        <v>1864</v>
      </c>
      <c r="K64" s="13" t="s">
        <v>117</v>
      </c>
      <c r="L64" s="16" t="s">
        <v>118</v>
      </c>
    </row>
    <row r="65" spans="2:12" ht="85.3" thickBot="1" x14ac:dyDescent="0.4">
      <c r="B65" s="171"/>
      <c r="C65" s="17" t="s">
        <v>119</v>
      </c>
      <c r="D65" s="17" t="s">
        <v>120</v>
      </c>
      <c r="E65" s="17" t="s">
        <v>97</v>
      </c>
      <c r="F65" s="17" t="s">
        <v>121</v>
      </c>
      <c r="G65" s="18" t="s">
        <v>221</v>
      </c>
      <c r="H65" s="18" t="s">
        <v>173</v>
      </c>
      <c r="I65" s="18" t="s">
        <v>222</v>
      </c>
      <c r="J65" s="18" t="s">
        <v>125</v>
      </c>
      <c r="K65" s="17" t="s">
        <v>126</v>
      </c>
      <c r="L65" s="19" t="s">
        <v>127</v>
      </c>
    </row>
    <row r="66" spans="2:12" ht="14.6" thickBot="1" x14ac:dyDescent="0.4"/>
    <row r="67" spans="2:12" ht="70.75" x14ac:dyDescent="0.35">
      <c r="B67" s="173" t="s">
        <v>1866</v>
      </c>
      <c r="C67" s="8" t="s">
        <v>65</v>
      </c>
      <c r="D67" s="8" t="s">
        <v>66</v>
      </c>
      <c r="E67" s="8" t="s">
        <v>67</v>
      </c>
      <c r="F67" s="8" t="s">
        <v>68</v>
      </c>
      <c r="G67" s="9" t="s">
        <v>223</v>
      </c>
      <c r="H67" s="9">
        <v>384.67</v>
      </c>
      <c r="I67" s="9" t="s">
        <v>224</v>
      </c>
      <c r="J67" s="9" t="s">
        <v>225</v>
      </c>
      <c r="K67" s="8" t="s">
        <v>1735</v>
      </c>
      <c r="L67" s="11" t="s">
        <v>72</v>
      </c>
    </row>
    <row r="68" spans="2:12" ht="56.6" x14ac:dyDescent="0.35">
      <c r="B68" s="170"/>
      <c r="C68" s="13" t="s">
        <v>73</v>
      </c>
      <c r="D68" s="13" t="s">
        <v>74</v>
      </c>
      <c r="E68" s="13" t="s">
        <v>67</v>
      </c>
      <c r="F68" s="13" t="s">
        <v>68</v>
      </c>
      <c r="G68" s="14" t="s">
        <v>226</v>
      </c>
      <c r="H68" s="14">
        <v>161.44</v>
      </c>
      <c r="I68" s="14" t="s">
        <v>227</v>
      </c>
      <c r="J68" s="14" t="s">
        <v>228</v>
      </c>
      <c r="K68" s="13" t="s">
        <v>1736</v>
      </c>
      <c r="L68" s="16" t="s">
        <v>72</v>
      </c>
    </row>
    <row r="69" spans="2:12" ht="99" x14ac:dyDescent="0.35">
      <c r="B69" s="170"/>
      <c r="C69" s="13" t="s">
        <v>77</v>
      </c>
      <c r="D69" s="13" t="s">
        <v>78</v>
      </c>
      <c r="E69" s="13" t="s">
        <v>79</v>
      </c>
      <c r="F69" s="13" t="s">
        <v>80</v>
      </c>
      <c r="G69" s="14" t="s">
        <v>81</v>
      </c>
      <c r="H69" s="14">
        <v>2</v>
      </c>
      <c r="I69" s="14" t="s">
        <v>229</v>
      </c>
      <c r="J69" s="14" t="s">
        <v>230</v>
      </c>
      <c r="K69" s="13" t="s">
        <v>84</v>
      </c>
      <c r="L69" s="16" t="s">
        <v>85</v>
      </c>
    </row>
    <row r="70" spans="2:12" ht="84.9" x14ac:dyDescent="0.35">
      <c r="B70" s="170"/>
      <c r="C70" s="13" t="s">
        <v>86</v>
      </c>
      <c r="D70" s="13" t="s">
        <v>87</v>
      </c>
      <c r="E70" s="13" t="s">
        <v>88</v>
      </c>
      <c r="F70" s="13" t="s">
        <v>89</v>
      </c>
      <c r="G70" s="14" t="s">
        <v>90</v>
      </c>
      <c r="H70" s="14">
        <v>1</v>
      </c>
      <c r="I70" s="14" t="s">
        <v>231</v>
      </c>
      <c r="J70" s="14" t="s">
        <v>232</v>
      </c>
      <c r="K70" s="13" t="s">
        <v>93</v>
      </c>
      <c r="L70" s="16" t="s">
        <v>94</v>
      </c>
    </row>
    <row r="71" spans="2:12" ht="70.75" x14ac:dyDescent="0.35">
      <c r="B71" s="170"/>
      <c r="C71" s="13" t="s">
        <v>95</v>
      </c>
      <c r="D71" s="13" t="s">
        <v>96</v>
      </c>
      <c r="E71" s="13" t="s">
        <v>97</v>
      </c>
      <c r="F71" s="13" t="s">
        <v>98</v>
      </c>
      <c r="G71" s="14" t="s">
        <v>99</v>
      </c>
      <c r="H71" s="14" t="s">
        <v>99</v>
      </c>
      <c r="I71" s="14" t="s">
        <v>233</v>
      </c>
      <c r="J71" s="14" t="s">
        <v>225</v>
      </c>
      <c r="K71" s="13" t="s">
        <v>102</v>
      </c>
      <c r="L71" s="16" t="s">
        <v>103</v>
      </c>
    </row>
    <row r="72" spans="2:12" ht="70.75" x14ac:dyDescent="0.35">
      <c r="B72" s="170"/>
      <c r="C72" s="13" t="s">
        <v>104</v>
      </c>
      <c r="D72" s="13" t="s">
        <v>105</v>
      </c>
      <c r="E72" s="13" t="s">
        <v>79</v>
      </c>
      <c r="F72" s="13" t="s">
        <v>106</v>
      </c>
      <c r="G72" s="14" t="s">
        <v>107</v>
      </c>
      <c r="H72" s="14">
        <v>1</v>
      </c>
      <c r="I72" s="14" t="s">
        <v>1738</v>
      </c>
      <c r="J72" s="14" t="s">
        <v>234</v>
      </c>
      <c r="K72" s="13" t="s">
        <v>1737</v>
      </c>
      <c r="L72" s="16" t="s">
        <v>110</v>
      </c>
    </row>
    <row r="73" spans="2:12" ht="70.75" x14ac:dyDescent="0.35">
      <c r="B73" s="170"/>
      <c r="C73" s="13" t="s">
        <v>111</v>
      </c>
      <c r="D73" s="13" t="s">
        <v>112</v>
      </c>
      <c r="E73" s="13" t="s">
        <v>79</v>
      </c>
      <c r="F73" s="13" t="s">
        <v>113</v>
      </c>
      <c r="G73" s="14" t="s">
        <v>189</v>
      </c>
      <c r="H73" s="14">
        <v>2</v>
      </c>
      <c r="I73" s="14" t="s">
        <v>1868</v>
      </c>
      <c r="J73" s="14" t="s">
        <v>1867</v>
      </c>
      <c r="K73" s="13" t="s">
        <v>117</v>
      </c>
      <c r="L73" s="16" t="s">
        <v>118</v>
      </c>
    </row>
    <row r="74" spans="2:12" ht="71.150000000000006" thickBot="1" x14ac:dyDescent="0.4">
      <c r="B74" s="171"/>
      <c r="C74" s="17" t="s">
        <v>119</v>
      </c>
      <c r="D74" s="17" t="s">
        <v>120</v>
      </c>
      <c r="E74" s="17" t="s">
        <v>97</v>
      </c>
      <c r="F74" s="17" t="s">
        <v>121</v>
      </c>
      <c r="G74" s="18" t="s">
        <v>221</v>
      </c>
      <c r="H74" s="18" t="s">
        <v>173</v>
      </c>
      <c r="I74" s="18" t="s">
        <v>235</v>
      </c>
      <c r="J74" s="18" t="s">
        <v>125</v>
      </c>
      <c r="K74" s="17" t="s">
        <v>126</v>
      </c>
      <c r="L74" s="19" t="s">
        <v>127</v>
      </c>
    </row>
    <row r="75" spans="2:12" ht="14.6" thickBot="1" x14ac:dyDescent="0.4"/>
    <row r="76" spans="2:12" ht="70.75" x14ac:dyDescent="0.35">
      <c r="B76" s="169" t="s">
        <v>1788</v>
      </c>
      <c r="C76" s="8" t="s">
        <v>65</v>
      </c>
      <c r="D76" s="8" t="s">
        <v>66</v>
      </c>
      <c r="E76" s="8" t="s">
        <v>67</v>
      </c>
      <c r="F76" s="8" t="s">
        <v>68</v>
      </c>
      <c r="G76" s="9" t="s">
        <v>236</v>
      </c>
      <c r="H76" s="10">
        <v>670.62</v>
      </c>
      <c r="I76" s="9" t="s">
        <v>237</v>
      </c>
      <c r="J76" s="9"/>
      <c r="K76" s="8" t="s">
        <v>1735</v>
      </c>
      <c r="L76" s="11" t="s">
        <v>72</v>
      </c>
    </row>
    <row r="77" spans="2:12" ht="56.6" x14ac:dyDescent="0.35">
      <c r="B77" s="170"/>
      <c r="C77" s="13" t="s">
        <v>73</v>
      </c>
      <c r="D77" s="13" t="s">
        <v>74</v>
      </c>
      <c r="E77" s="13" t="s">
        <v>67</v>
      </c>
      <c r="F77" s="13" t="s">
        <v>68</v>
      </c>
      <c r="G77" s="14" t="s">
        <v>238</v>
      </c>
      <c r="H77" s="15">
        <v>318.69</v>
      </c>
      <c r="I77" s="14" t="s">
        <v>239</v>
      </c>
      <c r="J77" s="14"/>
      <c r="K77" s="13" t="s">
        <v>1736</v>
      </c>
      <c r="L77" s="16" t="s">
        <v>72</v>
      </c>
    </row>
    <row r="78" spans="2:12" ht="113.15" x14ac:dyDescent="0.35">
      <c r="B78" s="170"/>
      <c r="C78" s="13" t="s">
        <v>77</v>
      </c>
      <c r="D78" s="13" t="s">
        <v>78</v>
      </c>
      <c r="E78" s="13" t="s">
        <v>79</v>
      </c>
      <c r="F78" s="13" t="s">
        <v>80</v>
      </c>
      <c r="G78" s="14" t="s">
        <v>81</v>
      </c>
      <c r="H78" s="14">
        <v>2</v>
      </c>
      <c r="I78" s="14" t="s">
        <v>240</v>
      </c>
      <c r="J78" s="14" t="s">
        <v>241</v>
      </c>
      <c r="K78" s="13" t="s">
        <v>84</v>
      </c>
      <c r="L78" s="16" t="s">
        <v>85</v>
      </c>
    </row>
    <row r="79" spans="2:12" ht="84.9" x14ac:dyDescent="0.35">
      <c r="B79" s="170"/>
      <c r="C79" s="13" t="s">
        <v>86</v>
      </c>
      <c r="D79" s="13" t="s">
        <v>87</v>
      </c>
      <c r="E79" s="13" t="s">
        <v>88</v>
      </c>
      <c r="F79" s="13" t="s">
        <v>89</v>
      </c>
      <c r="G79" s="14" t="s">
        <v>90</v>
      </c>
      <c r="H79" s="14">
        <v>1</v>
      </c>
      <c r="I79" s="14" t="s">
        <v>242</v>
      </c>
      <c r="J79" s="14" t="s">
        <v>216</v>
      </c>
      <c r="K79" s="13" t="s">
        <v>93</v>
      </c>
      <c r="L79" s="16" t="s">
        <v>94</v>
      </c>
    </row>
    <row r="80" spans="2:12" ht="70.75" x14ac:dyDescent="0.35">
      <c r="B80" s="170"/>
      <c r="C80" s="13" t="s">
        <v>95</v>
      </c>
      <c r="D80" s="13" t="s">
        <v>96</v>
      </c>
      <c r="E80" s="13" t="s">
        <v>97</v>
      </c>
      <c r="F80" s="13" t="s">
        <v>98</v>
      </c>
      <c r="G80" s="14" t="s">
        <v>99</v>
      </c>
      <c r="H80" s="14" t="s">
        <v>99</v>
      </c>
      <c r="I80" s="14" t="s">
        <v>243</v>
      </c>
      <c r="J80" s="14" t="s">
        <v>244</v>
      </c>
      <c r="K80" s="13" t="s">
        <v>102</v>
      </c>
      <c r="L80" s="16" t="s">
        <v>103</v>
      </c>
    </row>
    <row r="81" spans="2:12" ht="42.45" x14ac:dyDescent="0.35">
      <c r="B81" s="170"/>
      <c r="C81" s="13" t="s">
        <v>104</v>
      </c>
      <c r="D81" s="13" t="s">
        <v>105</v>
      </c>
      <c r="E81" s="13" t="s">
        <v>79</v>
      </c>
      <c r="F81" s="13" t="s">
        <v>106</v>
      </c>
      <c r="G81" s="14" t="s">
        <v>107</v>
      </c>
      <c r="H81" s="14">
        <v>1</v>
      </c>
      <c r="I81" s="14" t="s">
        <v>245</v>
      </c>
      <c r="J81" s="14" t="s">
        <v>246</v>
      </c>
      <c r="K81" s="13" t="s">
        <v>1737</v>
      </c>
      <c r="L81" s="16" t="s">
        <v>110</v>
      </c>
    </row>
    <row r="82" spans="2:12" ht="84.9" x14ac:dyDescent="0.35">
      <c r="B82" s="170"/>
      <c r="C82" s="13" t="s">
        <v>111</v>
      </c>
      <c r="D82" s="13" t="s">
        <v>112</v>
      </c>
      <c r="E82" s="13" t="s">
        <v>79</v>
      </c>
      <c r="F82" s="13" t="s">
        <v>113</v>
      </c>
      <c r="G82" s="14" t="s">
        <v>189</v>
      </c>
      <c r="H82" s="14">
        <v>2</v>
      </c>
      <c r="I82" s="14" t="s">
        <v>247</v>
      </c>
      <c r="J82" s="14" t="s">
        <v>116</v>
      </c>
      <c r="K82" s="13" t="s">
        <v>117</v>
      </c>
      <c r="L82" s="16" t="s">
        <v>118</v>
      </c>
    </row>
    <row r="83" spans="2:12" ht="71.150000000000006" thickBot="1" x14ac:dyDescent="0.4">
      <c r="B83" s="171"/>
      <c r="C83" s="17" t="s">
        <v>119</v>
      </c>
      <c r="D83" s="17" t="s">
        <v>120</v>
      </c>
      <c r="E83" s="17" t="s">
        <v>97</v>
      </c>
      <c r="F83" s="17" t="s">
        <v>121</v>
      </c>
      <c r="G83" s="18" t="s">
        <v>248</v>
      </c>
      <c r="H83" s="18" t="s">
        <v>123</v>
      </c>
      <c r="I83" s="18" t="s">
        <v>249</v>
      </c>
      <c r="J83" s="18" t="s">
        <v>125</v>
      </c>
      <c r="K83" s="17" t="s">
        <v>126</v>
      </c>
      <c r="L83" s="19" t="s">
        <v>127</v>
      </c>
    </row>
    <row r="84" spans="2:12" ht="14.6" thickBot="1" x14ac:dyDescent="0.4"/>
    <row r="85" spans="2:12" ht="70.75" x14ac:dyDescent="0.35">
      <c r="B85" s="169" t="s">
        <v>1789</v>
      </c>
      <c r="C85" s="8" t="s">
        <v>65</v>
      </c>
      <c r="D85" s="8" t="s">
        <v>66</v>
      </c>
      <c r="E85" s="8" t="s">
        <v>67</v>
      </c>
      <c r="F85" s="8" t="s">
        <v>68</v>
      </c>
      <c r="G85" s="9" t="s">
        <v>250</v>
      </c>
      <c r="H85" s="10">
        <v>699.25</v>
      </c>
      <c r="I85" s="9" t="s">
        <v>251</v>
      </c>
      <c r="J85" s="9" t="s">
        <v>252</v>
      </c>
      <c r="K85" s="8" t="s">
        <v>1735</v>
      </c>
      <c r="L85" s="11" t="s">
        <v>72</v>
      </c>
    </row>
    <row r="86" spans="2:12" ht="56.6" x14ac:dyDescent="0.35">
      <c r="B86" s="170"/>
      <c r="C86" s="13" t="s">
        <v>73</v>
      </c>
      <c r="D86" s="13" t="s">
        <v>74</v>
      </c>
      <c r="E86" s="13" t="s">
        <v>67</v>
      </c>
      <c r="F86" s="13" t="s">
        <v>68</v>
      </c>
      <c r="G86" s="14" t="s">
        <v>253</v>
      </c>
      <c r="H86" s="15">
        <v>343.16</v>
      </c>
      <c r="I86" s="14" t="s">
        <v>254</v>
      </c>
      <c r="J86" s="14"/>
      <c r="K86" s="13" t="s">
        <v>1736</v>
      </c>
      <c r="L86" s="16" t="s">
        <v>72</v>
      </c>
    </row>
    <row r="87" spans="2:12" ht="113.15" x14ac:dyDescent="0.35">
      <c r="B87" s="170"/>
      <c r="C87" s="13" t="s">
        <v>77</v>
      </c>
      <c r="D87" s="13" t="s">
        <v>78</v>
      </c>
      <c r="E87" s="13" t="s">
        <v>79</v>
      </c>
      <c r="F87" s="13" t="s">
        <v>80</v>
      </c>
      <c r="G87" s="14" t="s">
        <v>81</v>
      </c>
      <c r="H87" s="14">
        <v>2</v>
      </c>
      <c r="I87" s="14" t="s">
        <v>255</v>
      </c>
      <c r="J87" s="14" t="s">
        <v>256</v>
      </c>
      <c r="K87" s="13" t="s">
        <v>84</v>
      </c>
      <c r="L87" s="16" t="s">
        <v>85</v>
      </c>
    </row>
    <row r="88" spans="2:12" ht="99" x14ac:dyDescent="0.35">
      <c r="B88" s="170"/>
      <c r="C88" s="13" t="s">
        <v>86</v>
      </c>
      <c r="D88" s="13" t="s">
        <v>87</v>
      </c>
      <c r="E88" s="13" t="s">
        <v>88</v>
      </c>
      <c r="F88" s="13" t="s">
        <v>89</v>
      </c>
      <c r="G88" s="14" t="s">
        <v>90</v>
      </c>
      <c r="H88" s="14">
        <v>1</v>
      </c>
      <c r="I88" s="14" t="s">
        <v>257</v>
      </c>
      <c r="J88" s="14" t="s">
        <v>258</v>
      </c>
      <c r="K88" s="13" t="s">
        <v>93</v>
      </c>
      <c r="L88" s="16" t="s">
        <v>94</v>
      </c>
    </row>
    <row r="89" spans="2:12" ht="70.75" x14ac:dyDescent="0.35">
      <c r="B89" s="170"/>
      <c r="C89" s="13" t="s">
        <v>95</v>
      </c>
      <c r="D89" s="13" t="s">
        <v>96</v>
      </c>
      <c r="E89" s="13" t="s">
        <v>97</v>
      </c>
      <c r="F89" s="13" t="s">
        <v>98</v>
      </c>
      <c r="G89" s="14" t="s">
        <v>99</v>
      </c>
      <c r="H89" s="14" t="s">
        <v>99</v>
      </c>
      <c r="I89" s="14" t="s">
        <v>259</v>
      </c>
      <c r="J89" s="14" t="s">
        <v>260</v>
      </c>
      <c r="K89" s="13" t="s">
        <v>102</v>
      </c>
      <c r="L89" s="16" t="s">
        <v>103</v>
      </c>
    </row>
    <row r="90" spans="2:12" ht="42.45" x14ac:dyDescent="0.35">
      <c r="B90" s="170"/>
      <c r="C90" s="13" t="s">
        <v>104</v>
      </c>
      <c r="D90" s="13" t="s">
        <v>105</v>
      </c>
      <c r="E90" s="13" t="s">
        <v>79</v>
      </c>
      <c r="F90" s="13" t="s">
        <v>106</v>
      </c>
      <c r="G90" s="14" t="s">
        <v>218</v>
      </c>
      <c r="H90" s="14">
        <v>3</v>
      </c>
      <c r="I90" s="14" t="s">
        <v>261</v>
      </c>
      <c r="J90" s="14" t="s">
        <v>262</v>
      </c>
      <c r="K90" s="13" t="s">
        <v>1737</v>
      </c>
      <c r="L90" s="16" t="s">
        <v>110</v>
      </c>
    </row>
    <row r="91" spans="2:12" ht="84.9" x14ac:dyDescent="0.35">
      <c r="B91" s="170"/>
      <c r="C91" s="13" t="s">
        <v>111</v>
      </c>
      <c r="D91" s="13" t="s">
        <v>112</v>
      </c>
      <c r="E91" s="13" t="s">
        <v>79</v>
      </c>
      <c r="F91" s="13" t="s">
        <v>113</v>
      </c>
      <c r="G91" s="14" t="s">
        <v>189</v>
      </c>
      <c r="H91" s="14">
        <v>2</v>
      </c>
      <c r="I91" s="14" t="s">
        <v>263</v>
      </c>
      <c r="J91" s="14" t="s">
        <v>264</v>
      </c>
      <c r="K91" s="13" t="s">
        <v>117</v>
      </c>
      <c r="L91" s="16" t="s">
        <v>118</v>
      </c>
    </row>
    <row r="92" spans="2:12" ht="99.45" thickBot="1" x14ac:dyDescent="0.4">
      <c r="B92" s="171"/>
      <c r="C92" s="17" t="s">
        <v>119</v>
      </c>
      <c r="D92" s="17" t="s">
        <v>120</v>
      </c>
      <c r="E92" s="17" t="s">
        <v>97</v>
      </c>
      <c r="F92" s="17" t="s">
        <v>121</v>
      </c>
      <c r="G92" s="18" t="s">
        <v>248</v>
      </c>
      <c r="H92" s="18" t="s">
        <v>123</v>
      </c>
      <c r="I92" s="18" t="s">
        <v>265</v>
      </c>
      <c r="J92" s="18" t="s">
        <v>266</v>
      </c>
      <c r="K92" s="17" t="s">
        <v>126</v>
      </c>
      <c r="L92" s="19" t="s">
        <v>127</v>
      </c>
    </row>
    <row r="93" spans="2:12" ht="14.6" thickBot="1" x14ac:dyDescent="0.4"/>
    <row r="94" spans="2:12" ht="70.75" x14ac:dyDescent="0.35">
      <c r="B94" s="169" t="s">
        <v>1790</v>
      </c>
      <c r="C94" s="8" t="s">
        <v>65</v>
      </c>
      <c r="D94" s="8" t="s">
        <v>66</v>
      </c>
      <c r="E94" s="8" t="s">
        <v>67</v>
      </c>
      <c r="F94" s="8" t="s">
        <v>68</v>
      </c>
      <c r="G94" s="9" t="s">
        <v>267</v>
      </c>
      <c r="H94" s="10">
        <v>739.29</v>
      </c>
      <c r="I94" s="9" t="s">
        <v>268</v>
      </c>
      <c r="J94" s="9" t="s">
        <v>269</v>
      </c>
      <c r="K94" s="8" t="s">
        <v>1735</v>
      </c>
      <c r="L94" s="11" t="s">
        <v>72</v>
      </c>
    </row>
    <row r="95" spans="2:12" ht="56.6" x14ac:dyDescent="0.35">
      <c r="B95" s="170"/>
      <c r="C95" s="13" t="s">
        <v>73</v>
      </c>
      <c r="D95" s="13" t="s">
        <v>74</v>
      </c>
      <c r="E95" s="13" t="s">
        <v>67</v>
      </c>
      <c r="F95" s="13" t="s">
        <v>68</v>
      </c>
      <c r="G95" s="14" t="s">
        <v>270</v>
      </c>
      <c r="H95" s="15">
        <v>384.86</v>
      </c>
      <c r="I95" s="14" t="s">
        <v>271</v>
      </c>
      <c r="J95" s="14" t="s">
        <v>272</v>
      </c>
      <c r="K95" s="13" t="s">
        <v>1736</v>
      </c>
      <c r="L95" s="16" t="s">
        <v>72</v>
      </c>
    </row>
    <row r="96" spans="2:12" ht="127.3" x14ac:dyDescent="0.35">
      <c r="B96" s="170"/>
      <c r="C96" s="13" t="s">
        <v>77</v>
      </c>
      <c r="D96" s="13" t="s">
        <v>78</v>
      </c>
      <c r="E96" s="13" t="s">
        <v>79</v>
      </c>
      <c r="F96" s="13" t="s">
        <v>80</v>
      </c>
      <c r="G96" s="14" t="s">
        <v>81</v>
      </c>
      <c r="H96" s="14">
        <v>2</v>
      </c>
      <c r="I96" s="14" t="s">
        <v>273</v>
      </c>
      <c r="J96" s="14" t="s">
        <v>274</v>
      </c>
      <c r="K96" s="13" t="s">
        <v>84</v>
      </c>
      <c r="L96" s="16" t="s">
        <v>85</v>
      </c>
    </row>
    <row r="97" spans="2:12" ht="84.9" x14ac:dyDescent="0.35">
      <c r="B97" s="170"/>
      <c r="C97" s="13" t="s">
        <v>86</v>
      </c>
      <c r="D97" s="13" t="s">
        <v>87</v>
      </c>
      <c r="E97" s="13" t="s">
        <v>88</v>
      </c>
      <c r="F97" s="13" t="s">
        <v>89</v>
      </c>
      <c r="G97" s="14" t="s">
        <v>90</v>
      </c>
      <c r="H97" s="14">
        <v>1</v>
      </c>
      <c r="I97" s="14" t="s">
        <v>275</v>
      </c>
      <c r="J97" s="14" t="s">
        <v>232</v>
      </c>
      <c r="K97" s="13" t="s">
        <v>93</v>
      </c>
      <c r="L97" s="16" t="s">
        <v>94</v>
      </c>
    </row>
    <row r="98" spans="2:12" ht="70.75" x14ac:dyDescent="0.35">
      <c r="B98" s="170"/>
      <c r="C98" s="13" t="s">
        <v>95</v>
      </c>
      <c r="D98" s="13" t="s">
        <v>96</v>
      </c>
      <c r="E98" s="13" t="s">
        <v>97</v>
      </c>
      <c r="F98" s="13" t="s">
        <v>98</v>
      </c>
      <c r="G98" s="14" t="s">
        <v>99</v>
      </c>
      <c r="H98" s="14" t="s">
        <v>99</v>
      </c>
      <c r="I98" s="14" t="s">
        <v>276</v>
      </c>
      <c r="J98" s="14" t="s">
        <v>277</v>
      </c>
      <c r="K98" s="13" t="s">
        <v>102</v>
      </c>
      <c r="L98" s="16" t="s">
        <v>103</v>
      </c>
    </row>
    <row r="99" spans="2:12" ht="42.45" x14ac:dyDescent="0.35">
      <c r="B99" s="170"/>
      <c r="C99" s="13" t="s">
        <v>104</v>
      </c>
      <c r="D99" s="13" t="s">
        <v>105</v>
      </c>
      <c r="E99" s="13" t="s">
        <v>79</v>
      </c>
      <c r="F99" s="13" t="s">
        <v>106</v>
      </c>
      <c r="G99" s="14" t="s">
        <v>107</v>
      </c>
      <c r="H99" s="14">
        <v>1</v>
      </c>
      <c r="I99" s="14" t="s">
        <v>278</v>
      </c>
      <c r="J99" s="14" t="s">
        <v>279</v>
      </c>
      <c r="K99" s="13" t="s">
        <v>1737</v>
      </c>
      <c r="L99" s="16" t="s">
        <v>110</v>
      </c>
    </row>
    <row r="100" spans="2:12" ht="113.15" x14ac:dyDescent="0.35">
      <c r="B100" s="170"/>
      <c r="C100" s="13" t="s">
        <v>111</v>
      </c>
      <c r="D100" s="13" t="s">
        <v>112</v>
      </c>
      <c r="E100" s="13" t="s">
        <v>79</v>
      </c>
      <c r="F100" s="13" t="s">
        <v>113</v>
      </c>
      <c r="G100" s="14" t="s">
        <v>114</v>
      </c>
      <c r="H100" s="14">
        <v>3</v>
      </c>
      <c r="I100" s="14" t="s">
        <v>280</v>
      </c>
      <c r="J100" s="14" t="s">
        <v>281</v>
      </c>
      <c r="K100" s="13" t="s">
        <v>117</v>
      </c>
      <c r="L100" s="16" t="s">
        <v>118</v>
      </c>
    </row>
    <row r="101" spans="2:12" ht="99.45" thickBot="1" x14ac:dyDescent="0.4">
      <c r="B101" s="171"/>
      <c r="C101" s="17" t="s">
        <v>119</v>
      </c>
      <c r="D101" s="17" t="s">
        <v>120</v>
      </c>
      <c r="E101" s="17" t="s">
        <v>97</v>
      </c>
      <c r="F101" s="17" t="s">
        <v>121</v>
      </c>
      <c r="G101" s="18" t="s">
        <v>248</v>
      </c>
      <c r="H101" s="18" t="s">
        <v>123</v>
      </c>
      <c r="I101" s="18" t="s">
        <v>282</v>
      </c>
      <c r="J101" s="18" t="s">
        <v>283</v>
      </c>
      <c r="K101" s="17" t="s">
        <v>126</v>
      </c>
      <c r="L101" s="19" t="s">
        <v>127</v>
      </c>
    </row>
    <row r="102" spans="2:12" ht="14.6" thickBot="1" x14ac:dyDescent="0.4"/>
    <row r="103" spans="2:12" ht="70.75" x14ac:dyDescent="0.35">
      <c r="B103" s="169" t="s">
        <v>1791</v>
      </c>
      <c r="C103" s="8" t="s">
        <v>65</v>
      </c>
      <c r="D103" s="8" t="s">
        <v>66</v>
      </c>
      <c r="E103" s="8" t="s">
        <v>67</v>
      </c>
      <c r="F103" s="8" t="s">
        <v>68</v>
      </c>
      <c r="G103" s="9" t="s">
        <v>284</v>
      </c>
      <c r="H103" s="10">
        <v>622.4</v>
      </c>
      <c r="I103" s="9" t="s">
        <v>285</v>
      </c>
      <c r="J103" s="9" t="s">
        <v>286</v>
      </c>
      <c r="K103" s="8" t="s">
        <v>1735</v>
      </c>
      <c r="L103" s="11" t="s">
        <v>72</v>
      </c>
    </row>
    <row r="104" spans="2:12" ht="56.6" x14ac:dyDescent="0.35">
      <c r="B104" s="170"/>
      <c r="C104" s="13" t="s">
        <v>73</v>
      </c>
      <c r="D104" s="13" t="s">
        <v>74</v>
      </c>
      <c r="E104" s="13" t="s">
        <v>67</v>
      </c>
      <c r="F104" s="13" t="s">
        <v>68</v>
      </c>
      <c r="G104" s="14" t="s">
        <v>287</v>
      </c>
      <c r="H104" s="15">
        <v>299.39999999999998</v>
      </c>
      <c r="I104" s="14" t="s">
        <v>288</v>
      </c>
      <c r="J104" s="14" t="s">
        <v>289</v>
      </c>
      <c r="K104" s="13" t="s">
        <v>1736</v>
      </c>
      <c r="L104" s="16" t="s">
        <v>72</v>
      </c>
    </row>
    <row r="105" spans="2:12" ht="99" x14ac:dyDescent="0.35">
      <c r="B105" s="170"/>
      <c r="C105" s="13" t="s">
        <v>77</v>
      </c>
      <c r="D105" s="13" t="s">
        <v>78</v>
      </c>
      <c r="E105" s="13" t="s">
        <v>79</v>
      </c>
      <c r="F105" s="13" t="s">
        <v>80</v>
      </c>
      <c r="G105" s="14" t="s">
        <v>81</v>
      </c>
      <c r="H105" s="14">
        <v>2</v>
      </c>
      <c r="I105" s="14" t="s">
        <v>290</v>
      </c>
      <c r="J105" s="14" t="s">
        <v>291</v>
      </c>
      <c r="K105" s="13" t="s">
        <v>84</v>
      </c>
      <c r="L105" s="16" t="s">
        <v>85</v>
      </c>
    </row>
    <row r="106" spans="2:12" ht="84.9" x14ac:dyDescent="0.35">
      <c r="B106" s="170"/>
      <c r="C106" s="13" t="s">
        <v>86</v>
      </c>
      <c r="D106" s="13" t="s">
        <v>87</v>
      </c>
      <c r="E106" s="13" t="s">
        <v>88</v>
      </c>
      <c r="F106" s="13" t="s">
        <v>89</v>
      </c>
      <c r="G106" s="14" t="s">
        <v>90</v>
      </c>
      <c r="H106" s="14">
        <v>1</v>
      </c>
      <c r="I106" s="14" t="s">
        <v>292</v>
      </c>
      <c r="J106" s="14" t="s">
        <v>293</v>
      </c>
      <c r="K106" s="13" t="s">
        <v>93</v>
      </c>
      <c r="L106" s="16" t="s">
        <v>94</v>
      </c>
    </row>
    <row r="107" spans="2:12" ht="70.75" x14ac:dyDescent="0.35">
      <c r="B107" s="170"/>
      <c r="C107" s="13" t="s">
        <v>95</v>
      </c>
      <c r="D107" s="13" t="s">
        <v>96</v>
      </c>
      <c r="E107" s="13" t="s">
        <v>97</v>
      </c>
      <c r="F107" s="13" t="s">
        <v>98</v>
      </c>
      <c r="G107" s="14" t="s">
        <v>99</v>
      </c>
      <c r="H107" s="14" t="s">
        <v>99</v>
      </c>
      <c r="I107" s="14" t="s">
        <v>294</v>
      </c>
      <c r="J107" s="14" t="s">
        <v>295</v>
      </c>
      <c r="K107" s="13" t="s">
        <v>102</v>
      </c>
      <c r="L107" s="16" t="s">
        <v>103</v>
      </c>
    </row>
    <row r="108" spans="2:12" ht="42.45" x14ac:dyDescent="0.35">
      <c r="B108" s="170"/>
      <c r="C108" s="13" t="s">
        <v>104</v>
      </c>
      <c r="D108" s="13" t="s">
        <v>105</v>
      </c>
      <c r="E108" s="13" t="s">
        <v>79</v>
      </c>
      <c r="F108" s="13" t="s">
        <v>106</v>
      </c>
      <c r="G108" s="14" t="s">
        <v>107</v>
      </c>
      <c r="H108" s="14">
        <v>1</v>
      </c>
      <c r="I108" s="14" t="s">
        <v>296</v>
      </c>
      <c r="J108" s="14" t="s">
        <v>297</v>
      </c>
      <c r="K108" s="13" t="s">
        <v>1737</v>
      </c>
      <c r="L108" s="16" t="s">
        <v>110</v>
      </c>
    </row>
    <row r="109" spans="2:12" ht="127.3" x14ac:dyDescent="0.35">
      <c r="B109" s="170"/>
      <c r="C109" s="13" t="s">
        <v>111</v>
      </c>
      <c r="D109" s="13" t="s">
        <v>112</v>
      </c>
      <c r="E109" s="13" t="s">
        <v>79</v>
      </c>
      <c r="F109" s="13" t="s">
        <v>113</v>
      </c>
      <c r="G109" s="14" t="s">
        <v>114</v>
      </c>
      <c r="H109" s="14">
        <v>3</v>
      </c>
      <c r="I109" s="14" t="s">
        <v>298</v>
      </c>
      <c r="J109" s="14" t="s">
        <v>299</v>
      </c>
      <c r="K109" s="13" t="s">
        <v>117</v>
      </c>
      <c r="L109" s="16" t="s">
        <v>118</v>
      </c>
    </row>
    <row r="110" spans="2:12" ht="141.9" thickBot="1" x14ac:dyDescent="0.4">
      <c r="B110" s="171"/>
      <c r="C110" s="17" t="s">
        <v>119</v>
      </c>
      <c r="D110" s="17" t="s">
        <v>120</v>
      </c>
      <c r="E110" s="17" t="s">
        <v>97</v>
      </c>
      <c r="F110" s="17" t="s">
        <v>121</v>
      </c>
      <c r="G110" s="18" t="s">
        <v>248</v>
      </c>
      <c r="H110" s="18" t="s">
        <v>123</v>
      </c>
      <c r="I110" s="18" t="s">
        <v>300</v>
      </c>
      <c r="J110" s="18" t="s">
        <v>301</v>
      </c>
      <c r="K110" s="17" t="s">
        <v>126</v>
      </c>
      <c r="L110" s="19" t="s">
        <v>127</v>
      </c>
    </row>
    <row r="111" spans="2:12" ht="14.6" thickBot="1" x14ac:dyDescent="0.4"/>
    <row r="112" spans="2:12" ht="70.75" x14ac:dyDescent="0.35">
      <c r="B112" s="169" t="s">
        <v>1792</v>
      </c>
      <c r="C112" s="8" t="s">
        <v>65</v>
      </c>
      <c r="D112" s="8" t="s">
        <v>66</v>
      </c>
      <c r="E112" s="8" t="s">
        <v>67</v>
      </c>
      <c r="F112" s="8" t="s">
        <v>68</v>
      </c>
      <c r="G112" s="9" t="s">
        <v>302</v>
      </c>
      <c r="H112" s="10">
        <v>659</v>
      </c>
      <c r="I112" s="9" t="s">
        <v>303</v>
      </c>
      <c r="J112" s="9" t="s">
        <v>304</v>
      </c>
      <c r="K112" s="8" t="s">
        <v>1735</v>
      </c>
      <c r="L112" s="11" t="s">
        <v>72</v>
      </c>
    </row>
    <row r="113" spans="2:12" ht="56.6" x14ac:dyDescent="0.35">
      <c r="B113" s="170"/>
      <c r="C113" s="13" t="s">
        <v>73</v>
      </c>
      <c r="D113" s="13" t="s">
        <v>74</v>
      </c>
      <c r="E113" s="13" t="s">
        <v>67</v>
      </c>
      <c r="F113" s="13" t="s">
        <v>68</v>
      </c>
      <c r="G113" s="14" t="s">
        <v>305</v>
      </c>
      <c r="H113" s="15">
        <v>298.8</v>
      </c>
      <c r="I113" s="14" t="s">
        <v>306</v>
      </c>
      <c r="J113" s="14" t="s">
        <v>307</v>
      </c>
      <c r="K113" s="13" t="s">
        <v>1736</v>
      </c>
      <c r="L113" s="16" t="s">
        <v>72</v>
      </c>
    </row>
    <row r="114" spans="2:12" ht="99" x14ac:dyDescent="0.35">
      <c r="B114" s="170"/>
      <c r="C114" s="13" t="s">
        <v>77</v>
      </c>
      <c r="D114" s="13" t="s">
        <v>78</v>
      </c>
      <c r="E114" s="13" t="s">
        <v>79</v>
      </c>
      <c r="F114" s="13" t="s">
        <v>80</v>
      </c>
      <c r="G114" s="14" t="s">
        <v>308</v>
      </c>
      <c r="H114" s="14">
        <v>3</v>
      </c>
      <c r="I114" s="14" t="s">
        <v>309</v>
      </c>
      <c r="J114" s="14" t="s">
        <v>310</v>
      </c>
      <c r="K114" s="13" t="s">
        <v>84</v>
      </c>
      <c r="L114" s="16" t="s">
        <v>85</v>
      </c>
    </row>
    <row r="115" spans="2:12" ht="84.9" x14ac:dyDescent="0.35">
      <c r="B115" s="170"/>
      <c r="C115" s="13" t="s">
        <v>86</v>
      </c>
      <c r="D115" s="13" t="s">
        <v>87</v>
      </c>
      <c r="E115" s="13" t="s">
        <v>88</v>
      </c>
      <c r="F115" s="13" t="s">
        <v>89</v>
      </c>
      <c r="G115" s="14" t="s">
        <v>90</v>
      </c>
      <c r="H115" s="14">
        <v>1</v>
      </c>
      <c r="I115" s="14" t="s">
        <v>311</v>
      </c>
      <c r="J115" s="14" t="s">
        <v>312</v>
      </c>
      <c r="K115" s="13" t="s">
        <v>93</v>
      </c>
      <c r="L115" s="16" t="s">
        <v>94</v>
      </c>
    </row>
    <row r="116" spans="2:12" ht="70.75" x14ac:dyDescent="0.35">
      <c r="B116" s="170"/>
      <c r="C116" s="13" t="s">
        <v>95</v>
      </c>
      <c r="D116" s="13" t="s">
        <v>96</v>
      </c>
      <c r="E116" s="13" t="s">
        <v>97</v>
      </c>
      <c r="F116" s="13" t="s">
        <v>98</v>
      </c>
      <c r="G116" s="14" t="s">
        <v>99</v>
      </c>
      <c r="H116" s="14" t="s">
        <v>99</v>
      </c>
      <c r="I116" s="14" t="s">
        <v>313</v>
      </c>
      <c r="J116" s="14" t="s">
        <v>314</v>
      </c>
      <c r="K116" s="13" t="s">
        <v>102</v>
      </c>
      <c r="L116" s="16" t="s">
        <v>103</v>
      </c>
    </row>
    <row r="117" spans="2:12" ht="56.6" x14ac:dyDescent="0.35">
      <c r="B117" s="170"/>
      <c r="C117" s="13" t="s">
        <v>104</v>
      </c>
      <c r="D117" s="13" t="s">
        <v>105</v>
      </c>
      <c r="E117" s="13" t="s">
        <v>79</v>
      </c>
      <c r="F117" s="13" t="s">
        <v>106</v>
      </c>
      <c r="G117" s="14" t="s">
        <v>218</v>
      </c>
      <c r="H117" s="14">
        <v>3</v>
      </c>
      <c r="I117" s="14" t="s">
        <v>315</v>
      </c>
      <c r="J117" s="14" t="s">
        <v>316</v>
      </c>
      <c r="K117" s="13" t="s">
        <v>1737</v>
      </c>
      <c r="L117" s="16" t="s">
        <v>110</v>
      </c>
    </row>
    <row r="118" spans="2:12" ht="99" x14ac:dyDescent="0.35">
      <c r="B118" s="170"/>
      <c r="C118" s="13" t="s">
        <v>111</v>
      </c>
      <c r="D118" s="13" t="s">
        <v>112</v>
      </c>
      <c r="E118" s="13" t="s">
        <v>79</v>
      </c>
      <c r="F118" s="13" t="s">
        <v>113</v>
      </c>
      <c r="G118" s="14" t="s">
        <v>189</v>
      </c>
      <c r="H118" s="14">
        <v>2</v>
      </c>
      <c r="I118" s="14" t="s">
        <v>317</v>
      </c>
      <c r="J118" s="14" t="s">
        <v>318</v>
      </c>
      <c r="K118" s="13" t="s">
        <v>117</v>
      </c>
      <c r="L118" s="16" t="s">
        <v>118</v>
      </c>
    </row>
    <row r="119" spans="2:12" ht="127.75" thickBot="1" x14ac:dyDescent="0.4">
      <c r="B119" s="171"/>
      <c r="C119" s="17" t="s">
        <v>119</v>
      </c>
      <c r="D119" s="17" t="s">
        <v>120</v>
      </c>
      <c r="E119" s="17" t="s">
        <v>97</v>
      </c>
      <c r="F119" s="17" t="s">
        <v>121</v>
      </c>
      <c r="G119" s="18" t="s">
        <v>319</v>
      </c>
      <c r="H119" s="18" t="s">
        <v>319</v>
      </c>
      <c r="I119" s="18" t="s">
        <v>320</v>
      </c>
      <c r="J119" s="18" t="s">
        <v>321</v>
      </c>
      <c r="K119" s="17" t="s">
        <v>126</v>
      </c>
      <c r="L119" s="19" t="s">
        <v>127</v>
      </c>
    </row>
    <row r="120" spans="2:12" ht="14.6" thickBot="1" x14ac:dyDescent="0.4"/>
    <row r="121" spans="2:12" ht="70.75" x14ac:dyDescent="0.35">
      <c r="B121" s="169" t="s">
        <v>1793</v>
      </c>
      <c r="C121" s="8" t="s">
        <v>65</v>
      </c>
      <c r="D121" s="8" t="s">
        <v>66</v>
      </c>
      <c r="E121" s="8" t="s">
        <v>67</v>
      </c>
      <c r="F121" s="8" t="s">
        <v>68</v>
      </c>
      <c r="G121" s="9" t="s">
        <v>322</v>
      </c>
      <c r="H121" s="10">
        <v>474</v>
      </c>
      <c r="I121" s="9" t="s">
        <v>323</v>
      </c>
      <c r="J121" s="9" t="s">
        <v>324</v>
      </c>
      <c r="K121" s="8" t="s">
        <v>1735</v>
      </c>
      <c r="L121" s="11" t="s">
        <v>72</v>
      </c>
    </row>
    <row r="122" spans="2:12" ht="56.6" x14ac:dyDescent="0.35">
      <c r="B122" s="170"/>
      <c r="C122" s="13" t="s">
        <v>73</v>
      </c>
      <c r="D122" s="13" t="s">
        <v>74</v>
      </c>
      <c r="E122" s="13" t="s">
        <v>67</v>
      </c>
      <c r="F122" s="13" t="s">
        <v>68</v>
      </c>
      <c r="G122" s="14" t="s">
        <v>325</v>
      </c>
      <c r="H122" s="15">
        <v>227.83</v>
      </c>
      <c r="I122" s="14" t="s">
        <v>326</v>
      </c>
      <c r="J122" s="14" t="s">
        <v>327</v>
      </c>
      <c r="K122" s="13" t="s">
        <v>1736</v>
      </c>
      <c r="L122" s="16" t="s">
        <v>72</v>
      </c>
    </row>
    <row r="123" spans="2:12" ht="99" x14ac:dyDescent="0.35">
      <c r="B123" s="170"/>
      <c r="C123" s="13" t="s">
        <v>77</v>
      </c>
      <c r="D123" s="13" t="s">
        <v>78</v>
      </c>
      <c r="E123" s="13" t="s">
        <v>79</v>
      </c>
      <c r="F123" s="13" t="s">
        <v>80</v>
      </c>
      <c r="G123" s="14" t="s">
        <v>308</v>
      </c>
      <c r="H123" s="14">
        <v>3</v>
      </c>
      <c r="I123" s="14" t="s">
        <v>328</v>
      </c>
      <c r="J123" s="14" t="s">
        <v>329</v>
      </c>
      <c r="K123" s="13" t="s">
        <v>84</v>
      </c>
      <c r="L123" s="16" t="s">
        <v>85</v>
      </c>
    </row>
    <row r="124" spans="2:12" ht="84.9" x14ac:dyDescent="0.35">
      <c r="B124" s="170"/>
      <c r="C124" s="13" t="s">
        <v>86</v>
      </c>
      <c r="D124" s="13" t="s">
        <v>87</v>
      </c>
      <c r="E124" s="13" t="s">
        <v>88</v>
      </c>
      <c r="F124" s="13" t="s">
        <v>89</v>
      </c>
      <c r="G124" s="14" t="s">
        <v>90</v>
      </c>
      <c r="H124" s="14">
        <v>1</v>
      </c>
      <c r="I124" s="14" t="s">
        <v>330</v>
      </c>
      <c r="J124" s="14" t="s">
        <v>331</v>
      </c>
      <c r="K124" s="13" t="s">
        <v>93</v>
      </c>
      <c r="L124" s="16" t="s">
        <v>94</v>
      </c>
    </row>
    <row r="125" spans="2:12" ht="70.75" x14ac:dyDescent="0.35">
      <c r="B125" s="170"/>
      <c r="C125" s="13" t="s">
        <v>95</v>
      </c>
      <c r="D125" s="13" t="s">
        <v>96</v>
      </c>
      <c r="E125" s="13" t="s">
        <v>97</v>
      </c>
      <c r="F125" s="13" t="s">
        <v>98</v>
      </c>
      <c r="G125" s="14" t="s">
        <v>99</v>
      </c>
      <c r="H125" s="14" t="s">
        <v>99</v>
      </c>
      <c r="I125" s="14" t="s">
        <v>332</v>
      </c>
      <c r="J125" s="14" t="s">
        <v>324</v>
      </c>
      <c r="K125" s="13" t="s">
        <v>102</v>
      </c>
      <c r="L125" s="16" t="s">
        <v>103</v>
      </c>
    </row>
    <row r="126" spans="2:12" ht="42.45" x14ac:dyDescent="0.35">
      <c r="B126" s="170"/>
      <c r="C126" s="13" t="s">
        <v>104</v>
      </c>
      <c r="D126" s="13" t="s">
        <v>105</v>
      </c>
      <c r="E126" s="13" t="s">
        <v>79</v>
      </c>
      <c r="F126" s="13" t="s">
        <v>106</v>
      </c>
      <c r="G126" s="14" t="s">
        <v>107</v>
      </c>
      <c r="H126" s="14">
        <v>1</v>
      </c>
      <c r="I126" s="14" t="s">
        <v>333</v>
      </c>
      <c r="J126" s="14" t="s">
        <v>334</v>
      </c>
      <c r="K126" s="13" t="s">
        <v>1737</v>
      </c>
      <c r="L126" s="16" t="s">
        <v>110</v>
      </c>
    </row>
    <row r="127" spans="2:12" ht="99" x14ac:dyDescent="0.35">
      <c r="B127" s="170"/>
      <c r="C127" s="13" t="s">
        <v>111</v>
      </c>
      <c r="D127" s="13" t="s">
        <v>112</v>
      </c>
      <c r="E127" s="13" t="s">
        <v>79</v>
      </c>
      <c r="F127" s="13" t="s">
        <v>113</v>
      </c>
      <c r="G127" s="14" t="s">
        <v>189</v>
      </c>
      <c r="H127" s="14">
        <v>2</v>
      </c>
      <c r="I127" s="14" t="s">
        <v>335</v>
      </c>
      <c r="J127" s="14" t="s">
        <v>336</v>
      </c>
      <c r="K127" s="13" t="s">
        <v>117</v>
      </c>
      <c r="L127" s="16" t="s">
        <v>118</v>
      </c>
    </row>
    <row r="128" spans="2:12" ht="113.6" thickBot="1" x14ac:dyDescent="0.4">
      <c r="B128" s="171"/>
      <c r="C128" s="17" t="s">
        <v>119</v>
      </c>
      <c r="D128" s="17" t="s">
        <v>120</v>
      </c>
      <c r="E128" s="17" t="s">
        <v>97</v>
      </c>
      <c r="F128" s="17" t="s">
        <v>121</v>
      </c>
      <c r="G128" s="18" t="s">
        <v>221</v>
      </c>
      <c r="H128" s="18" t="s">
        <v>173</v>
      </c>
      <c r="I128" s="18" t="s">
        <v>337</v>
      </c>
      <c r="J128" s="18" t="s">
        <v>338</v>
      </c>
      <c r="K128" s="17" t="s">
        <v>126</v>
      </c>
      <c r="L128" s="19" t="s">
        <v>127</v>
      </c>
    </row>
    <row r="129" spans="2:12" ht="14.6" thickBot="1" x14ac:dyDescent="0.4"/>
    <row r="130" spans="2:12" ht="70.75" x14ac:dyDescent="0.35">
      <c r="B130" s="169" t="s">
        <v>1794</v>
      </c>
      <c r="C130" s="8" t="s">
        <v>65</v>
      </c>
      <c r="D130" s="8" t="s">
        <v>66</v>
      </c>
      <c r="E130" s="8" t="s">
        <v>67</v>
      </c>
      <c r="F130" s="8" t="s">
        <v>68</v>
      </c>
      <c r="G130" s="9" t="s">
        <v>339</v>
      </c>
      <c r="H130" s="9">
        <v>728.75</v>
      </c>
      <c r="I130" s="9" t="s">
        <v>340</v>
      </c>
      <c r="J130" s="9" t="s">
        <v>341</v>
      </c>
      <c r="K130" s="8" t="s">
        <v>1735</v>
      </c>
      <c r="L130" s="11" t="s">
        <v>72</v>
      </c>
    </row>
    <row r="131" spans="2:12" ht="56.6" x14ac:dyDescent="0.35">
      <c r="B131" s="170"/>
      <c r="C131" s="13" t="s">
        <v>73</v>
      </c>
      <c r="D131" s="13" t="s">
        <v>74</v>
      </c>
      <c r="E131" s="13" t="s">
        <v>67</v>
      </c>
      <c r="F131" s="13" t="s">
        <v>68</v>
      </c>
      <c r="G131" s="14" t="s">
        <v>342</v>
      </c>
      <c r="H131" s="14">
        <v>394.12</v>
      </c>
      <c r="I131" s="14" t="s">
        <v>343</v>
      </c>
      <c r="J131" s="14" t="s">
        <v>344</v>
      </c>
      <c r="K131" s="13" t="s">
        <v>1736</v>
      </c>
      <c r="L131" s="16" t="s">
        <v>72</v>
      </c>
    </row>
    <row r="132" spans="2:12" ht="113.15" x14ac:dyDescent="0.35">
      <c r="B132" s="170"/>
      <c r="C132" s="13" t="s">
        <v>77</v>
      </c>
      <c r="D132" s="13" t="s">
        <v>78</v>
      </c>
      <c r="E132" s="13" t="s">
        <v>79</v>
      </c>
      <c r="F132" s="13" t="s">
        <v>80</v>
      </c>
      <c r="G132" s="14" t="s">
        <v>308</v>
      </c>
      <c r="H132" s="14">
        <v>3</v>
      </c>
      <c r="I132" s="14" t="s">
        <v>345</v>
      </c>
      <c r="J132" s="14" t="s">
        <v>346</v>
      </c>
      <c r="K132" s="13" t="s">
        <v>84</v>
      </c>
      <c r="L132" s="16" t="s">
        <v>85</v>
      </c>
    </row>
    <row r="133" spans="2:12" ht="84.9" x14ac:dyDescent="0.35">
      <c r="B133" s="170"/>
      <c r="C133" s="13" t="s">
        <v>86</v>
      </c>
      <c r="D133" s="13" t="s">
        <v>87</v>
      </c>
      <c r="E133" s="13" t="s">
        <v>88</v>
      </c>
      <c r="F133" s="13" t="s">
        <v>89</v>
      </c>
      <c r="G133" s="14" t="s">
        <v>90</v>
      </c>
      <c r="H133" s="14">
        <v>1</v>
      </c>
      <c r="I133" s="14" t="s">
        <v>347</v>
      </c>
      <c r="J133" s="14" t="s">
        <v>348</v>
      </c>
      <c r="K133" s="13" t="s">
        <v>93</v>
      </c>
      <c r="L133" s="16" t="s">
        <v>94</v>
      </c>
    </row>
    <row r="134" spans="2:12" ht="70.75" x14ac:dyDescent="0.35">
      <c r="B134" s="170"/>
      <c r="C134" s="13" t="s">
        <v>95</v>
      </c>
      <c r="D134" s="13" t="s">
        <v>96</v>
      </c>
      <c r="E134" s="13" t="s">
        <v>97</v>
      </c>
      <c r="F134" s="13" t="s">
        <v>98</v>
      </c>
      <c r="G134" s="14" t="s">
        <v>99</v>
      </c>
      <c r="H134" s="14" t="s">
        <v>99</v>
      </c>
      <c r="I134" s="14" t="s">
        <v>349</v>
      </c>
      <c r="J134" s="14" t="s">
        <v>350</v>
      </c>
      <c r="K134" s="13" t="s">
        <v>102</v>
      </c>
      <c r="L134" s="16" t="s">
        <v>103</v>
      </c>
    </row>
    <row r="135" spans="2:12" ht="56.6" x14ac:dyDescent="0.35">
      <c r="B135" s="170"/>
      <c r="C135" s="13" t="s">
        <v>104</v>
      </c>
      <c r="D135" s="13" t="s">
        <v>105</v>
      </c>
      <c r="E135" s="13" t="s">
        <v>79</v>
      </c>
      <c r="F135" s="13" t="s">
        <v>106</v>
      </c>
      <c r="G135" s="14" t="s">
        <v>107</v>
      </c>
      <c r="H135" s="14">
        <v>1</v>
      </c>
      <c r="I135" s="14" t="s">
        <v>351</v>
      </c>
      <c r="J135" s="14" t="s">
        <v>352</v>
      </c>
      <c r="K135" s="13" t="s">
        <v>1737</v>
      </c>
      <c r="L135" s="16" t="s">
        <v>110</v>
      </c>
    </row>
    <row r="136" spans="2:12" ht="99" x14ac:dyDescent="0.35">
      <c r="B136" s="170"/>
      <c r="C136" s="13" t="s">
        <v>111</v>
      </c>
      <c r="D136" s="13" t="s">
        <v>112</v>
      </c>
      <c r="E136" s="13" t="s">
        <v>79</v>
      </c>
      <c r="F136" s="13" t="s">
        <v>113</v>
      </c>
      <c r="G136" s="14" t="s">
        <v>189</v>
      </c>
      <c r="H136" s="14">
        <v>2</v>
      </c>
      <c r="I136" s="14" t="s">
        <v>353</v>
      </c>
      <c r="J136" s="14" t="s">
        <v>354</v>
      </c>
      <c r="K136" s="13" t="s">
        <v>117</v>
      </c>
      <c r="L136" s="16" t="s">
        <v>118</v>
      </c>
    </row>
    <row r="137" spans="2:12" ht="113.6" thickBot="1" x14ac:dyDescent="0.4">
      <c r="B137" s="171"/>
      <c r="C137" s="17" t="s">
        <v>119</v>
      </c>
      <c r="D137" s="17" t="s">
        <v>120</v>
      </c>
      <c r="E137" s="17" t="s">
        <v>97</v>
      </c>
      <c r="F137" s="17" t="s">
        <v>121</v>
      </c>
      <c r="G137" s="18" t="s">
        <v>221</v>
      </c>
      <c r="H137" s="18" t="s">
        <v>173</v>
      </c>
      <c r="I137" s="18" t="s">
        <v>355</v>
      </c>
      <c r="J137" s="18" t="s">
        <v>356</v>
      </c>
      <c r="K137" s="17" t="s">
        <v>126</v>
      </c>
      <c r="L137" s="19" t="s">
        <v>127</v>
      </c>
    </row>
    <row r="138" spans="2:12" ht="14.6" thickBot="1" x14ac:dyDescent="0.4"/>
    <row r="139" spans="2:12" ht="70.75" x14ac:dyDescent="0.35">
      <c r="B139" s="169" t="s">
        <v>1795</v>
      </c>
      <c r="C139" s="8" t="s">
        <v>65</v>
      </c>
      <c r="D139" s="8" t="s">
        <v>66</v>
      </c>
      <c r="E139" s="8" t="s">
        <v>67</v>
      </c>
      <c r="F139" s="8" t="s">
        <v>68</v>
      </c>
      <c r="G139" s="9" t="s">
        <v>357</v>
      </c>
      <c r="H139" s="9">
        <v>748.38</v>
      </c>
      <c r="I139" s="9" t="s">
        <v>358</v>
      </c>
      <c r="J139" s="9" t="s">
        <v>359</v>
      </c>
      <c r="K139" s="8" t="s">
        <v>1735</v>
      </c>
      <c r="L139" s="11" t="s">
        <v>72</v>
      </c>
    </row>
    <row r="140" spans="2:12" ht="56.6" x14ac:dyDescent="0.35">
      <c r="B140" s="170"/>
      <c r="C140" s="13" t="s">
        <v>73</v>
      </c>
      <c r="D140" s="13" t="s">
        <v>74</v>
      </c>
      <c r="E140" s="13" t="s">
        <v>67</v>
      </c>
      <c r="F140" s="13" t="s">
        <v>68</v>
      </c>
      <c r="G140" s="14" t="s">
        <v>360</v>
      </c>
      <c r="H140" s="14">
        <v>381.79</v>
      </c>
      <c r="I140" s="14" t="s">
        <v>361</v>
      </c>
      <c r="J140" s="14" t="s">
        <v>362</v>
      </c>
      <c r="K140" s="13" t="s">
        <v>1736</v>
      </c>
      <c r="L140" s="16" t="s">
        <v>72</v>
      </c>
    </row>
    <row r="141" spans="2:12" ht="99" x14ac:dyDescent="0.35">
      <c r="B141" s="170"/>
      <c r="C141" s="13" t="s">
        <v>77</v>
      </c>
      <c r="D141" s="13" t="s">
        <v>78</v>
      </c>
      <c r="E141" s="13" t="s">
        <v>79</v>
      </c>
      <c r="F141" s="13" t="s">
        <v>80</v>
      </c>
      <c r="G141" s="14" t="s">
        <v>308</v>
      </c>
      <c r="H141" s="14">
        <v>3</v>
      </c>
      <c r="I141" s="14" t="s">
        <v>363</v>
      </c>
      <c r="J141" s="14" t="s">
        <v>364</v>
      </c>
      <c r="K141" s="13" t="s">
        <v>84</v>
      </c>
      <c r="L141" s="16" t="s">
        <v>85</v>
      </c>
    </row>
    <row r="142" spans="2:12" ht="84.9" x14ac:dyDescent="0.35">
      <c r="B142" s="170"/>
      <c r="C142" s="13" t="s">
        <v>86</v>
      </c>
      <c r="D142" s="13" t="s">
        <v>87</v>
      </c>
      <c r="E142" s="13" t="s">
        <v>88</v>
      </c>
      <c r="F142" s="13" t="s">
        <v>89</v>
      </c>
      <c r="G142" s="14" t="s">
        <v>90</v>
      </c>
      <c r="H142" s="14">
        <v>1</v>
      </c>
      <c r="I142" s="14" t="s">
        <v>365</v>
      </c>
      <c r="J142" s="14" t="s">
        <v>366</v>
      </c>
      <c r="K142" s="13" t="s">
        <v>93</v>
      </c>
      <c r="L142" s="16" t="s">
        <v>94</v>
      </c>
    </row>
    <row r="143" spans="2:12" ht="70.75" x14ac:dyDescent="0.35">
      <c r="B143" s="170"/>
      <c r="C143" s="13" t="s">
        <v>95</v>
      </c>
      <c r="D143" s="13" t="s">
        <v>96</v>
      </c>
      <c r="E143" s="13" t="s">
        <v>97</v>
      </c>
      <c r="F143" s="13" t="s">
        <v>98</v>
      </c>
      <c r="G143" s="14" t="s">
        <v>99</v>
      </c>
      <c r="H143" s="14" t="s">
        <v>99</v>
      </c>
      <c r="I143" s="14" t="s">
        <v>367</v>
      </c>
      <c r="J143" s="14" t="s">
        <v>368</v>
      </c>
      <c r="K143" s="13" t="s">
        <v>102</v>
      </c>
      <c r="L143" s="16" t="s">
        <v>103</v>
      </c>
    </row>
    <row r="144" spans="2:12" ht="56.6" x14ac:dyDescent="0.35">
      <c r="B144" s="170"/>
      <c r="C144" s="13" t="s">
        <v>104</v>
      </c>
      <c r="D144" s="13" t="s">
        <v>105</v>
      </c>
      <c r="E144" s="13" t="s">
        <v>79</v>
      </c>
      <c r="F144" s="13" t="s">
        <v>106</v>
      </c>
      <c r="G144" s="14" t="s">
        <v>218</v>
      </c>
      <c r="H144" s="14">
        <v>3</v>
      </c>
      <c r="I144" s="14" t="s">
        <v>369</v>
      </c>
      <c r="J144" s="14" t="s">
        <v>370</v>
      </c>
      <c r="K144" s="13" t="s">
        <v>1737</v>
      </c>
      <c r="L144" s="16" t="s">
        <v>110</v>
      </c>
    </row>
    <row r="145" spans="2:12" ht="84.9" x14ac:dyDescent="0.35">
      <c r="B145" s="170"/>
      <c r="C145" s="13" t="s">
        <v>111</v>
      </c>
      <c r="D145" s="13" t="s">
        <v>112</v>
      </c>
      <c r="E145" s="13" t="s">
        <v>79</v>
      </c>
      <c r="F145" s="13" t="s">
        <v>113</v>
      </c>
      <c r="G145" s="14" t="s">
        <v>189</v>
      </c>
      <c r="H145" s="14">
        <v>2</v>
      </c>
      <c r="I145" s="14" t="s">
        <v>371</v>
      </c>
      <c r="J145" s="14" t="s">
        <v>372</v>
      </c>
      <c r="K145" s="13" t="s">
        <v>117</v>
      </c>
      <c r="L145" s="16" t="s">
        <v>118</v>
      </c>
    </row>
    <row r="146" spans="2:12" ht="127.75" thickBot="1" x14ac:dyDescent="0.4">
      <c r="B146" s="171"/>
      <c r="C146" s="17" t="s">
        <v>119</v>
      </c>
      <c r="D146" s="17" t="s">
        <v>120</v>
      </c>
      <c r="E146" s="17" t="s">
        <v>97</v>
      </c>
      <c r="F146" s="17" t="s">
        <v>121</v>
      </c>
      <c r="G146" s="18" t="s">
        <v>248</v>
      </c>
      <c r="H146" s="18" t="s">
        <v>123</v>
      </c>
      <c r="I146" s="18" t="s">
        <v>373</v>
      </c>
      <c r="J146" s="18" t="s">
        <v>374</v>
      </c>
      <c r="K146" s="17" t="s">
        <v>126</v>
      </c>
      <c r="L146" s="19" t="s">
        <v>127</v>
      </c>
    </row>
    <row r="147" spans="2:12" ht="14.6" thickBot="1" x14ac:dyDescent="0.4"/>
    <row r="148" spans="2:12" ht="70.75" x14ac:dyDescent="0.35">
      <c r="B148" s="169" t="s">
        <v>1796</v>
      </c>
      <c r="C148" s="8" t="s">
        <v>65</v>
      </c>
      <c r="D148" s="8" t="s">
        <v>66</v>
      </c>
      <c r="E148" s="8" t="s">
        <v>67</v>
      </c>
      <c r="F148" s="8" t="s">
        <v>68</v>
      </c>
      <c r="G148" s="9" t="s">
        <v>375</v>
      </c>
      <c r="H148" s="9">
        <v>605.45000000000005</v>
      </c>
      <c r="I148" s="9" t="s">
        <v>376</v>
      </c>
      <c r="J148" s="9" t="s">
        <v>377</v>
      </c>
      <c r="K148" s="8" t="s">
        <v>1735</v>
      </c>
      <c r="L148" s="11" t="s">
        <v>72</v>
      </c>
    </row>
    <row r="149" spans="2:12" ht="56.6" x14ac:dyDescent="0.35">
      <c r="B149" s="170"/>
      <c r="C149" s="13" t="s">
        <v>73</v>
      </c>
      <c r="D149" s="13" t="s">
        <v>74</v>
      </c>
      <c r="E149" s="13" t="s">
        <v>67</v>
      </c>
      <c r="F149" s="13" t="s">
        <v>68</v>
      </c>
      <c r="G149" s="14" t="s">
        <v>378</v>
      </c>
      <c r="H149" s="14">
        <v>372.91</v>
      </c>
      <c r="I149" s="14" t="s">
        <v>379</v>
      </c>
      <c r="J149" s="14" t="s">
        <v>380</v>
      </c>
      <c r="K149" s="13" t="s">
        <v>1736</v>
      </c>
      <c r="L149" s="16" t="s">
        <v>72</v>
      </c>
    </row>
    <row r="150" spans="2:12" ht="99" x14ac:dyDescent="0.35">
      <c r="B150" s="170"/>
      <c r="C150" s="13" t="s">
        <v>77</v>
      </c>
      <c r="D150" s="13" t="s">
        <v>78</v>
      </c>
      <c r="E150" s="13" t="s">
        <v>79</v>
      </c>
      <c r="F150" s="13" t="s">
        <v>80</v>
      </c>
      <c r="G150" s="14" t="s">
        <v>308</v>
      </c>
      <c r="H150" s="14">
        <v>3</v>
      </c>
      <c r="I150" s="14" t="s">
        <v>381</v>
      </c>
      <c r="J150" s="14" t="s">
        <v>382</v>
      </c>
      <c r="K150" s="13" t="s">
        <v>84</v>
      </c>
      <c r="L150" s="16" t="s">
        <v>85</v>
      </c>
    </row>
    <row r="151" spans="2:12" ht="84.9" x14ac:dyDescent="0.35">
      <c r="B151" s="170"/>
      <c r="C151" s="13" t="s">
        <v>86</v>
      </c>
      <c r="D151" s="13" t="s">
        <v>87</v>
      </c>
      <c r="E151" s="13" t="s">
        <v>88</v>
      </c>
      <c r="F151" s="13" t="s">
        <v>89</v>
      </c>
      <c r="G151" s="14" t="s">
        <v>90</v>
      </c>
      <c r="H151" s="14">
        <v>1</v>
      </c>
      <c r="I151" s="14" t="s">
        <v>383</v>
      </c>
      <c r="J151" s="14" t="s">
        <v>384</v>
      </c>
      <c r="K151" s="13" t="s">
        <v>93</v>
      </c>
      <c r="L151" s="16" t="s">
        <v>94</v>
      </c>
    </row>
    <row r="152" spans="2:12" ht="70.75" x14ac:dyDescent="0.35">
      <c r="B152" s="170"/>
      <c r="C152" s="13" t="s">
        <v>95</v>
      </c>
      <c r="D152" s="13" t="s">
        <v>96</v>
      </c>
      <c r="E152" s="13" t="s">
        <v>97</v>
      </c>
      <c r="F152" s="13" t="s">
        <v>98</v>
      </c>
      <c r="G152" s="14" t="s">
        <v>99</v>
      </c>
      <c r="H152" s="14" t="s">
        <v>99</v>
      </c>
      <c r="I152" s="14" t="s">
        <v>385</v>
      </c>
      <c r="J152" s="14" t="s">
        <v>386</v>
      </c>
      <c r="K152" s="13" t="s">
        <v>102</v>
      </c>
      <c r="L152" s="16" t="s">
        <v>103</v>
      </c>
    </row>
    <row r="153" spans="2:12" ht="42.45" x14ac:dyDescent="0.35">
      <c r="B153" s="170"/>
      <c r="C153" s="13" t="s">
        <v>104</v>
      </c>
      <c r="D153" s="13" t="s">
        <v>105</v>
      </c>
      <c r="E153" s="13" t="s">
        <v>79</v>
      </c>
      <c r="F153" s="13" t="s">
        <v>106</v>
      </c>
      <c r="G153" s="14" t="s">
        <v>218</v>
      </c>
      <c r="H153" s="14">
        <v>3</v>
      </c>
      <c r="I153" s="14" t="s">
        <v>387</v>
      </c>
      <c r="J153" s="14" t="s">
        <v>388</v>
      </c>
      <c r="K153" s="13" t="s">
        <v>1737</v>
      </c>
      <c r="L153" s="16" t="s">
        <v>110</v>
      </c>
    </row>
    <row r="154" spans="2:12" ht="141.44999999999999" x14ac:dyDescent="0.35">
      <c r="B154" s="170"/>
      <c r="C154" s="13" t="s">
        <v>111</v>
      </c>
      <c r="D154" s="13" t="s">
        <v>112</v>
      </c>
      <c r="E154" s="13" t="s">
        <v>79</v>
      </c>
      <c r="F154" s="13" t="s">
        <v>113</v>
      </c>
      <c r="G154" s="14" t="s">
        <v>189</v>
      </c>
      <c r="H154" s="14">
        <v>2</v>
      </c>
      <c r="I154" s="14" t="s">
        <v>389</v>
      </c>
      <c r="J154" s="14" t="s">
        <v>390</v>
      </c>
      <c r="K154" s="13" t="s">
        <v>117</v>
      </c>
      <c r="L154" s="16" t="s">
        <v>118</v>
      </c>
    </row>
    <row r="155" spans="2:12" ht="141.9" thickBot="1" x14ac:dyDescent="0.4">
      <c r="B155" s="171"/>
      <c r="C155" s="17" t="s">
        <v>119</v>
      </c>
      <c r="D155" s="17" t="s">
        <v>120</v>
      </c>
      <c r="E155" s="17" t="s">
        <v>97</v>
      </c>
      <c r="F155" s="17" t="s">
        <v>121</v>
      </c>
      <c r="G155" s="18" t="s">
        <v>248</v>
      </c>
      <c r="H155" s="18" t="s">
        <v>123</v>
      </c>
      <c r="I155" s="18" t="s">
        <v>391</v>
      </c>
      <c r="J155" s="18" t="s">
        <v>392</v>
      </c>
      <c r="K155" s="17" t="s">
        <v>126</v>
      </c>
      <c r="L155" s="19" t="s">
        <v>127</v>
      </c>
    </row>
    <row r="156" spans="2:12" ht="14.6" thickBot="1" x14ac:dyDescent="0.4"/>
    <row r="157" spans="2:12" ht="70.75" x14ac:dyDescent="0.35">
      <c r="B157" s="169" t="s">
        <v>1797</v>
      </c>
      <c r="C157" s="8" t="s">
        <v>65</v>
      </c>
      <c r="D157" s="8" t="s">
        <v>66</v>
      </c>
      <c r="E157" s="8" t="s">
        <v>67</v>
      </c>
      <c r="F157" s="8" t="s">
        <v>68</v>
      </c>
      <c r="G157" s="9" t="s">
        <v>393</v>
      </c>
      <c r="H157" s="9">
        <v>652.88</v>
      </c>
      <c r="I157" s="9" t="s">
        <v>394</v>
      </c>
      <c r="J157" s="9"/>
      <c r="K157" s="8" t="s">
        <v>1735</v>
      </c>
      <c r="L157" s="11" t="s">
        <v>72</v>
      </c>
    </row>
    <row r="158" spans="2:12" ht="56.6" x14ac:dyDescent="0.35">
      <c r="B158" s="170"/>
      <c r="C158" s="13" t="s">
        <v>73</v>
      </c>
      <c r="D158" s="13" t="s">
        <v>74</v>
      </c>
      <c r="E158" s="13" t="s">
        <v>67</v>
      </c>
      <c r="F158" s="13" t="s">
        <v>68</v>
      </c>
      <c r="G158" s="14" t="s">
        <v>395</v>
      </c>
      <c r="H158" s="14">
        <v>365.62</v>
      </c>
      <c r="I158" s="14" t="s">
        <v>396</v>
      </c>
      <c r="J158" s="14"/>
      <c r="K158" s="13" t="s">
        <v>1736</v>
      </c>
      <c r="L158" s="16" t="s">
        <v>72</v>
      </c>
    </row>
    <row r="159" spans="2:12" ht="99" x14ac:dyDescent="0.35">
      <c r="B159" s="170"/>
      <c r="C159" s="13" t="s">
        <v>77</v>
      </c>
      <c r="D159" s="13" t="s">
        <v>78</v>
      </c>
      <c r="E159" s="13" t="s">
        <v>79</v>
      </c>
      <c r="F159" s="13" t="s">
        <v>80</v>
      </c>
      <c r="G159" s="14" t="s">
        <v>81</v>
      </c>
      <c r="H159" s="14">
        <v>2</v>
      </c>
      <c r="I159" s="14" t="s">
        <v>397</v>
      </c>
      <c r="J159" s="14" t="s">
        <v>1783</v>
      </c>
      <c r="K159" s="13" t="s">
        <v>84</v>
      </c>
      <c r="L159" s="16" t="s">
        <v>85</v>
      </c>
    </row>
    <row r="160" spans="2:12" ht="84.9" x14ac:dyDescent="0.35">
      <c r="B160" s="170"/>
      <c r="C160" s="13" t="s">
        <v>86</v>
      </c>
      <c r="D160" s="13" t="s">
        <v>87</v>
      </c>
      <c r="E160" s="13" t="s">
        <v>88</v>
      </c>
      <c r="F160" s="13" t="s">
        <v>89</v>
      </c>
      <c r="G160" s="14" t="s">
        <v>90</v>
      </c>
      <c r="H160" s="14">
        <v>1</v>
      </c>
      <c r="I160" s="14" t="s">
        <v>398</v>
      </c>
      <c r="J160" s="14" t="s">
        <v>232</v>
      </c>
      <c r="K160" s="13" t="s">
        <v>93</v>
      </c>
      <c r="L160" s="16" t="s">
        <v>94</v>
      </c>
    </row>
    <row r="161" spans="2:12" ht="70.75" x14ac:dyDescent="0.35">
      <c r="B161" s="170"/>
      <c r="C161" s="13" t="s">
        <v>95</v>
      </c>
      <c r="D161" s="13" t="s">
        <v>96</v>
      </c>
      <c r="E161" s="13" t="s">
        <v>97</v>
      </c>
      <c r="F161" s="13" t="s">
        <v>98</v>
      </c>
      <c r="G161" s="14" t="s">
        <v>99</v>
      </c>
      <c r="H161" s="14" t="s">
        <v>99</v>
      </c>
      <c r="I161" s="14" t="s">
        <v>399</v>
      </c>
      <c r="J161" s="14" t="s">
        <v>400</v>
      </c>
      <c r="K161" s="13" t="s">
        <v>102</v>
      </c>
      <c r="L161" s="16" t="s">
        <v>103</v>
      </c>
    </row>
    <row r="162" spans="2:12" ht="42.45" x14ac:dyDescent="0.35">
      <c r="B162" s="170"/>
      <c r="C162" s="13" t="s">
        <v>104</v>
      </c>
      <c r="D162" s="13" t="s">
        <v>105</v>
      </c>
      <c r="E162" s="13" t="s">
        <v>79</v>
      </c>
      <c r="F162" s="13" t="s">
        <v>106</v>
      </c>
      <c r="G162" s="14" t="s">
        <v>107</v>
      </c>
      <c r="H162" s="14">
        <v>1</v>
      </c>
      <c r="I162" s="14" t="s">
        <v>401</v>
      </c>
      <c r="J162" s="14" t="s">
        <v>402</v>
      </c>
      <c r="K162" s="13" t="s">
        <v>1737</v>
      </c>
      <c r="L162" s="16" t="s">
        <v>110</v>
      </c>
    </row>
    <row r="163" spans="2:12" ht="84.9" x14ac:dyDescent="0.35">
      <c r="B163" s="170"/>
      <c r="C163" s="13" t="s">
        <v>111</v>
      </c>
      <c r="D163" s="13" t="s">
        <v>112</v>
      </c>
      <c r="E163" s="13" t="s">
        <v>79</v>
      </c>
      <c r="F163" s="13" t="s">
        <v>113</v>
      </c>
      <c r="G163" s="14" t="s">
        <v>189</v>
      </c>
      <c r="H163" s="14">
        <v>2</v>
      </c>
      <c r="I163" s="14" t="s">
        <v>403</v>
      </c>
      <c r="J163" s="14" t="s">
        <v>404</v>
      </c>
      <c r="K163" s="13" t="s">
        <v>117</v>
      </c>
      <c r="L163" s="16" t="s">
        <v>118</v>
      </c>
    </row>
    <row r="164" spans="2:12" ht="71.150000000000006" thickBot="1" x14ac:dyDescent="0.4">
      <c r="B164" s="171"/>
      <c r="C164" s="17" t="s">
        <v>119</v>
      </c>
      <c r="D164" s="17" t="s">
        <v>120</v>
      </c>
      <c r="E164" s="17" t="s">
        <v>97</v>
      </c>
      <c r="F164" s="17" t="s">
        <v>121</v>
      </c>
      <c r="G164" s="18" t="s">
        <v>319</v>
      </c>
      <c r="H164" s="18" t="s">
        <v>319</v>
      </c>
      <c r="I164" s="18" t="s">
        <v>405</v>
      </c>
      <c r="J164" s="18" t="s">
        <v>125</v>
      </c>
      <c r="K164" s="17" t="s">
        <v>126</v>
      </c>
      <c r="L164" s="19" t="s">
        <v>127</v>
      </c>
    </row>
    <row r="165" spans="2:12" ht="14.6" thickBot="1" x14ac:dyDescent="0.4"/>
    <row r="166" spans="2:12" ht="70.75" x14ac:dyDescent="0.35">
      <c r="B166" s="169" t="s">
        <v>1798</v>
      </c>
      <c r="C166" s="8" t="s">
        <v>65</v>
      </c>
      <c r="D166" s="8" t="s">
        <v>66</v>
      </c>
      <c r="E166" s="8" t="s">
        <v>67</v>
      </c>
      <c r="F166" s="8" t="s">
        <v>68</v>
      </c>
      <c r="G166" s="9" t="s">
        <v>406</v>
      </c>
      <c r="H166" s="9">
        <v>483.28</v>
      </c>
      <c r="I166" s="9" t="s">
        <v>407</v>
      </c>
      <c r="J166" s="9" t="s">
        <v>408</v>
      </c>
      <c r="K166" s="8" t="s">
        <v>1735</v>
      </c>
      <c r="L166" s="11" t="s">
        <v>72</v>
      </c>
    </row>
    <row r="167" spans="2:12" ht="56.6" x14ac:dyDescent="0.35">
      <c r="B167" s="170"/>
      <c r="C167" s="13" t="s">
        <v>73</v>
      </c>
      <c r="D167" s="13" t="s">
        <v>74</v>
      </c>
      <c r="E167" s="13" t="s">
        <v>67</v>
      </c>
      <c r="F167" s="13" t="s">
        <v>68</v>
      </c>
      <c r="G167" s="14" t="s">
        <v>409</v>
      </c>
      <c r="H167" s="14">
        <v>227.89</v>
      </c>
      <c r="I167" s="14" t="s">
        <v>410</v>
      </c>
      <c r="J167" s="14" t="s">
        <v>411</v>
      </c>
      <c r="K167" s="13" t="s">
        <v>1736</v>
      </c>
      <c r="L167" s="16" t="s">
        <v>72</v>
      </c>
    </row>
    <row r="168" spans="2:12" ht="99" x14ac:dyDescent="0.35">
      <c r="B168" s="170"/>
      <c r="C168" s="13" t="s">
        <v>77</v>
      </c>
      <c r="D168" s="13" t="s">
        <v>78</v>
      </c>
      <c r="E168" s="13" t="s">
        <v>79</v>
      </c>
      <c r="F168" s="13" t="s">
        <v>80</v>
      </c>
      <c r="G168" s="14" t="s">
        <v>308</v>
      </c>
      <c r="H168" s="14">
        <v>3</v>
      </c>
      <c r="I168" s="14" t="s">
        <v>412</v>
      </c>
      <c r="J168" s="14" t="s">
        <v>413</v>
      </c>
      <c r="K168" s="13" t="s">
        <v>84</v>
      </c>
      <c r="L168" s="16" t="s">
        <v>85</v>
      </c>
    </row>
    <row r="169" spans="2:12" ht="84.9" x14ac:dyDescent="0.35">
      <c r="B169" s="170"/>
      <c r="C169" s="13" t="s">
        <v>86</v>
      </c>
      <c r="D169" s="13" t="s">
        <v>87</v>
      </c>
      <c r="E169" s="13" t="s">
        <v>88</v>
      </c>
      <c r="F169" s="13" t="s">
        <v>89</v>
      </c>
      <c r="G169" s="14" t="s">
        <v>90</v>
      </c>
      <c r="H169" s="14">
        <v>1</v>
      </c>
      <c r="I169" s="14" t="s">
        <v>414</v>
      </c>
      <c r="J169" s="14" t="s">
        <v>415</v>
      </c>
      <c r="K169" s="13" t="s">
        <v>93</v>
      </c>
      <c r="L169" s="16" t="s">
        <v>94</v>
      </c>
    </row>
    <row r="170" spans="2:12" ht="70.75" x14ac:dyDescent="0.35">
      <c r="B170" s="170"/>
      <c r="C170" s="13" t="s">
        <v>95</v>
      </c>
      <c r="D170" s="13" t="s">
        <v>96</v>
      </c>
      <c r="E170" s="13" t="s">
        <v>97</v>
      </c>
      <c r="F170" s="13" t="s">
        <v>98</v>
      </c>
      <c r="G170" s="14" t="s">
        <v>99</v>
      </c>
      <c r="H170" s="14" t="s">
        <v>99</v>
      </c>
      <c r="I170" s="14" t="s">
        <v>416</v>
      </c>
      <c r="J170" s="14" t="s">
        <v>413</v>
      </c>
      <c r="K170" s="13" t="s">
        <v>102</v>
      </c>
      <c r="L170" s="16" t="s">
        <v>103</v>
      </c>
    </row>
    <row r="171" spans="2:12" ht="42.45" x14ac:dyDescent="0.35">
      <c r="B171" s="170"/>
      <c r="C171" s="13" t="s">
        <v>104</v>
      </c>
      <c r="D171" s="13" t="s">
        <v>105</v>
      </c>
      <c r="E171" s="13" t="s">
        <v>79</v>
      </c>
      <c r="F171" s="13" t="s">
        <v>106</v>
      </c>
      <c r="G171" s="14" t="s">
        <v>107</v>
      </c>
      <c r="H171" s="14">
        <v>1</v>
      </c>
      <c r="I171" s="14" t="s">
        <v>417</v>
      </c>
      <c r="J171" s="14" t="s">
        <v>418</v>
      </c>
      <c r="K171" s="13" t="s">
        <v>1737</v>
      </c>
      <c r="L171" s="16" t="s">
        <v>110</v>
      </c>
    </row>
    <row r="172" spans="2:12" ht="84.9" x14ac:dyDescent="0.35">
      <c r="B172" s="170"/>
      <c r="C172" s="13" t="s">
        <v>111</v>
      </c>
      <c r="D172" s="13" t="s">
        <v>112</v>
      </c>
      <c r="E172" s="13" t="s">
        <v>79</v>
      </c>
      <c r="F172" s="13" t="s">
        <v>113</v>
      </c>
      <c r="G172" s="14" t="s">
        <v>189</v>
      </c>
      <c r="H172" s="14">
        <v>2</v>
      </c>
      <c r="I172" s="14" t="s">
        <v>419</v>
      </c>
      <c r="J172" s="14" t="s">
        <v>420</v>
      </c>
      <c r="K172" s="13" t="s">
        <v>117</v>
      </c>
      <c r="L172" s="16" t="s">
        <v>118</v>
      </c>
    </row>
    <row r="173" spans="2:12" ht="113.6" thickBot="1" x14ac:dyDescent="0.4">
      <c r="B173" s="171"/>
      <c r="C173" s="17" t="s">
        <v>119</v>
      </c>
      <c r="D173" s="17" t="s">
        <v>120</v>
      </c>
      <c r="E173" s="17" t="s">
        <v>97</v>
      </c>
      <c r="F173" s="17" t="s">
        <v>121</v>
      </c>
      <c r="G173" s="18" t="s">
        <v>248</v>
      </c>
      <c r="H173" s="18" t="s">
        <v>123</v>
      </c>
      <c r="I173" s="18" t="s">
        <v>421</v>
      </c>
      <c r="J173" s="18" t="s">
        <v>422</v>
      </c>
      <c r="K173" s="17" t="s">
        <v>126</v>
      </c>
      <c r="L173" s="19" t="s">
        <v>127</v>
      </c>
    </row>
    <row r="174" spans="2:12" ht="14.6" thickBot="1" x14ac:dyDescent="0.4"/>
    <row r="175" spans="2:12" ht="70.75" x14ac:dyDescent="0.35">
      <c r="B175" s="169" t="s">
        <v>1799</v>
      </c>
      <c r="C175" s="8" t="s">
        <v>65</v>
      </c>
      <c r="D175" s="8" t="s">
        <v>66</v>
      </c>
      <c r="E175" s="8" t="s">
        <v>67</v>
      </c>
      <c r="F175" s="8" t="s">
        <v>68</v>
      </c>
      <c r="G175" s="9" t="s">
        <v>423</v>
      </c>
      <c r="H175" s="9">
        <v>562.71</v>
      </c>
      <c r="I175" s="9" t="s">
        <v>424</v>
      </c>
      <c r="J175" s="9" t="s">
        <v>1869</v>
      </c>
      <c r="K175" s="8" t="s">
        <v>1735</v>
      </c>
      <c r="L175" s="11" t="s">
        <v>72</v>
      </c>
    </row>
    <row r="176" spans="2:12" ht="56.6" x14ac:dyDescent="0.35">
      <c r="B176" s="170"/>
      <c r="C176" s="13" t="s">
        <v>73</v>
      </c>
      <c r="D176" s="13" t="s">
        <v>74</v>
      </c>
      <c r="E176" s="13" t="s">
        <v>67</v>
      </c>
      <c r="F176" s="13" t="s">
        <v>68</v>
      </c>
      <c r="G176" s="14" t="s">
        <v>425</v>
      </c>
      <c r="H176" s="14">
        <v>269.43</v>
      </c>
      <c r="I176" s="14" t="s">
        <v>426</v>
      </c>
      <c r="J176" s="14"/>
      <c r="K176" s="13" t="s">
        <v>1736</v>
      </c>
      <c r="L176" s="16" t="s">
        <v>72</v>
      </c>
    </row>
    <row r="177" spans="2:12" ht="99" x14ac:dyDescent="0.35">
      <c r="B177" s="170"/>
      <c r="C177" s="13" t="s">
        <v>77</v>
      </c>
      <c r="D177" s="13" t="s">
        <v>78</v>
      </c>
      <c r="E177" s="13" t="s">
        <v>79</v>
      </c>
      <c r="F177" s="13" t="s">
        <v>80</v>
      </c>
      <c r="G177" s="14" t="s">
        <v>308</v>
      </c>
      <c r="H177" s="14">
        <v>3</v>
      </c>
      <c r="I177" s="14" t="s">
        <v>427</v>
      </c>
      <c r="J177" s="14" t="s">
        <v>1871</v>
      </c>
      <c r="K177" s="13" t="s">
        <v>84</v>
      </c>
      <c r="L177" s="16" t="s">
        <v>85</v>
      </c>
    </row>
    <row r="178" spans="2:12" ht="84.9" x14ac:dyDescent="0.35">
      <c r="B178" s="170"/>
      <c r="C178" s="13" t="s">
        <v>86</v>
      </c>
      <c r="D178" s="13" t="s">
        <v>87</v>
      </c>
      <c r="E178" s="13" t="s">
        <v>88</v>
      </c>
      <c r="F178" s="13" t="s">
        <v>89</v>
      </c>
      <c r="G178" s="14" t="s">
        <v>90</v>
      </c>
      <c r="H178" s="14">
        <v>1</v>
      </c>
      <c r="I178" s="14" t="s">
        <v>428</v>
      </c>
      <c r="J178" s="14" t="s">
        <v>429</v>
      </c>
      <c r="K178" s="13" t="s">
        <v>430</v>
      </c>
      <c r="L178" s="16" t="s">
        <v>94</v>
      </c>
    </row>
    <row r="179" spans="2:12" ht="70.75" x14ac:dyDescent="0.35">
      <c r="B179" s="170"/>
      <c r="C179" s="13" t="s">
        <v>95</v>
      </c>
      <c r="D179" s="13" t="s">
        <v>96</v>
      </c>
      <c r="E179" s="13" t="s">
        <v>97</v>
      </c>
      <c r="F179" s="13" t="s">
        <v>98</v>
      </c>
      <c r="G179" s="14" t="s">
        <v>99</v>
      </c>
      <c r="H179" s="14" t="s">
        <v>99</v>
      </c>
      <c r="I179" s="14" t="s">
        <v>431</v>
      </c>
      <c r="J179" s="14" t="s">
        <v>1870</v>
      </c>
      <c r="K179" s="13" t="s">
        <v>102</v>
      </c>
      <c r="L179" s="16" t="s">
        <v>103</v>
      </c>
    </row>
    <row r="180" spans="2:12" ht="42.45" x14ac:dyDescent="0.35">
      <c r="B180" s="170"/>
      <c r="C180" s="13" t="s">
        <v>104</v>
      </c>
      <c r="D180" s="13" t="s">
        <v>105</v>
      </c>
      <c r="E180" s="13" t="s">
        <v>79</v>
      </c>
      <c r="F180" s="13" t="s">
        <v>106</v>
      </c>
      <c r="G180" s="14" t="s">
        <v>218</v>
      </c>
      <c r="H180" s="14">
        <v>3</v>
      </c>
      <c r="I180" s="14" t="s">
        <v>432</v>
      </c>
      <c r="J180" s="14" t="s">
        <v>433</v>
      </c>
      <c r="K180" s="13" t="s">
        <v>1737</v>
      </c>
      <c r="L180" s="16" t="s">
        <v>110</v>
      </c>
    </row>
    <row r="181" spans="2:12" ht="70.75" x14ac:dyDescent="0.35">
      <c r="B181" s="170"/>
      <c r="C181" s="13" t="s">
        <v>111</v>
      </c>
      <c r="D181" s="13" t="s">
        <v>112</v>
      </c>
      <c r="E181" s="13" t="s">
        <v>79</v>
      </c>
      <c r="F181" s="13" t="s">
        <v>113</v>
      </c>
      <c r="G181" s="14" t="s">
        <v>189</v>
      </c>
      <c r="H181" s="14">
        <v>2</v>
      </c>
      <c r="I181" s="14" t="s">
        <v>434</v>
      </c>
      <c r="J181" s="14" t="s">
        <v>435</v>
      </c>
      <c r="K181" s="13" t="s">
        <v>117</v>
      </c>
      <c r="L181" s="16" t="s">
        <v>118</v>
      </c>
    </row>
    <row r="182" spans="2:12" ht="71.150000000000006" thickBot="1" x14ac:dyDescent="0.4">
      <c r="B182" s="171"/>
      <c r="C182" s="17" t="s">
        <v>119</v>
      </c>
      <c r="D182" s="17" t="s">
        <v>120</v>
      </c>
      <c r="E182" s="17" t="s">
        <v>97</v>
      </c>
      <c r="F182" s="17" t="s">
        <v>121</v>
      </c>
      <c r="G182" s="18" t="s">
        <v>436</v>
      </c>
      <c r="H182" s="18" t="s">
        <v>436</v>
      </c>
      <c r="I182" s="18" t="s">
        <v>437</v>
      </c>
      <c r="J182" s="18" t="s">
        <v>125</v>
      </c>
      <c r="K182" s="17" t="s">
        <v>126</v>
      </c>
      <c r="L182" s="19" t="s">
        <v>127</v>
      </c>
    </row>
    <row r="183" spans="2:12" ht="14.6" thickBot="1" x14ac:dyDescent="0.4"/>
    <row r="184" spans="2:12" ht="70.75" x14ac:dyDescent="0.35">
      <c r="B184" s="169" t="s">
        <v>1800</v>
      </c>
      <c r="C184" s="8" t="s">
        <v>65</v>
      </c>
      <c r="D184" s="8" t="s">
        <v>66</v>
      </c>
      <c r="E184" s="8" t="s">
        <v>67</v>
      </c>
      <c r="F184" s="8" t="s">
        <v>68</v>
      </c>
      <c r="G184" s="9" t="s">
        <v>438</v>
      </c>
      <c r="H184" s="9">
        <v>895.78</v>
      </c>
      <c r="I184" s="9" t="s">
        <v>439</v>
      </c>
      <c r="J184" s="9" t="s">
        <v>440</v>
      </c>
      <c r="K184" s="8" t="s">
        <v>1735</v>
      </c>
      <c r="L184" s="11" t="s">
        <v>72</v>
      </c>
    </row>
    <row r="185" spans="2:12" ht="56.6" x14ac:dyDescent="0.35">
      <c r="B185" s="170"/>
      <c r="C185" s="13" t="s">
        <v>73</v>
      </c>
      <c r="D185" s="13" t="s">
        <v>74</v>
      </c>
      <c r="E185" s="13" t="s">
        <v>67</v>
      </c>
      <c r="F185" s="13" t="s">
        <v>68</v>
      </c>
      <c r="G185" s="14" t="s">
        <v>441</v>
      </c>
      <c r="H185" s="14">
        <v>513.22</v>
      </c>
      <c r="I185" s="14" t="s">
        <v>442</v>
      </c>
      <c r="J185" s="14" t="s">
        <v>443</v>
      </c>
      <c r="K185" s="13" t="s">
        <v>1736</v>
      </c>
      <c r="L185" s="16" t="s">
        <v>72</v>
      </c>
    </row>
    <row r="186" spans="2:12" ht="113.15" x14ac:dyDescent="0.35">
      <c r="B186" s="170"/>
      <c r="C186" s="13" t="s">
        <v>77</v>
      </c>
      <c r="D186" s="13" t="s">
        <v>78</v>
      </c>
      <c r="E186" s="13" t="s">
        <v>79</v>
      </c>
      <c r="F186" s="13" t="s">
        <v>80</v>
      </c>
      <c r="G186" s="14" t="s">
        <v>308</v>
      </c>
      <c r="H186" s="14">
        <v>3</v>
      </c>
      <c r="I186" s="14" t="s">
        <v>444</v>
      </c>
      <c r="J186" s="14" t="s">
        <v>445</v>
      </c>
      <c r="K186" s="13" t="s">
        <v>84</v>
      </c>
      <c r="L186" s="16" t="s">
        <v>85</v>
      </c>
    </row>
    <row r="187" spans="2:12" ht="84.9" x14ac:dyDescent="0.35">
      <c r="B187" s="170"/>
      <c r="C187" s="13" t="s">
        <v>86</v>
      </c>
      <c r="D187" s="13" t="s">
        <v>87</v>
      </c>
      <c r="E187" s="13" t="s">
        <v>88</v>
      </c>
      <c r="F187" s="13" t="s">
        <v>89</v>
      </c>
      <c r="G187" s="14" t="s">
        <v>90</v>
      </c>
      <c r="H187" s="14">
        <v>1</v>
      </c>
      <c r="I187" s="14" t="s">
        <v>446</v>
      </c>
      <c r="J187" s="14" t="s">
        <v>447</v>
      </c>
      <c r="K187" s="13" t="s">
        <v>93</v>
      </c>
      <c r="L187" s="16" t="s">
        <v>94</v>
      </c>
    </row>
    <row r="188" spans="2:12" ht="70.75" x14ac:dyDescent="0.35">
      <c r="B188" s="170"/>
      <c r="C188" s="13" t="s">
        <v>95</v>
      </c>
      <c r="D188" s="13" t="s">
        <v>96</v>
      </c>
      <c r="E188" s="13" t="s">
        <v>97</v>
      </c>
      <c r="F188" s="13" t="s">
        <v>98</v>
      </c>
      <c r="G188" s="14" t="s">
        <v>99</v>
      </c>
      <c r="H188" s="14" t="s">
        <v>99</v>
      </c>
      <c r="I188" s="14" t="s">
        <v>448</v>
      </c>
      <c r="J188" s="14" t="s">
        <v>449</v>
      </c>
      <c r="K188" s="13" t="s">
        <v>102</v>
      </c>
      <c r="L188" s="16" t="s">
        <v>103</v>
      </c>
    </row>
    <row r="189" spans="2:12" ht="42.45" x14ac:dyDescent="0.35">
      <c r="B189" s="170"/>
      <c r="C189" s="13" t="s">
        <v>104</v>
      </c>
      <c r="D189" s="13" t="s">
        <v>105</v>
      </c>
      <c r="E189" s="13" t="s">
        <v>79</v>
      </c>
      <c r="F189" s="13" t="s">
        <v>106</v>
      </c>
      <c r="G189" s="14" t="s">
        <v>107</v>
      </c>
      <c r="H189" s="14">
        <v>1</v>
      </c>
      <c r="I189" s="14" t="s">
        <v>450</v>
      </c>
      <c r="J189" s="14" t="s">
        <v>443</v>
      </c>
      <c r="K189" s="13" t="s">
        <v>1737</v>
      </c>
      <c r="L189" s="16" t="s">
        <v>110</v>
      </c>
    </row>
    <row r="190" spans="2:12" ht="99" x14ac:dyDescent="0.35">
      <c r="B190" s="170"/>
      <c r="C190" s="13" t="s">
        <v>111</v>
      </c>
      <c r="D190" s="13" t="s">
        <v>112</v>
      </c>
      <c r="E190" s="13" t="s">
        <v>79</v>
      </c>
      <c r="F190" s="13" t="s">
        <v>113</v>
      </c>
      <c r="G190" s="14" t="s">
        <v>189</v>
      </c>
      <c r="H190" s="14">
        <v>2</v>
      </c>
      <c r="I190" s="14" t="s">
        <v>451</v>
      </c>
      <c r="J190" s="14" t="s">
        <v>452</v>
      </c>
      <c r="K190" s="13" t="s">
        <v>117</v>
      </c>
      <c r="L190" s="16" t="s">
        <v>118</v>
      </c>
    </row>
    <row r="191" spans="2:12" ht="113.6" thickBot="1" x14ac:dyDescent="0.4">
      <c r="B191" s="171"/>
      <c r="C191" s="17" t="s">
        <v>119</v>
      </c>
      <c r="D191" s="17" t="s">
        <v>120</v>
      </c>
      <c r="E191" s="17" t="s">
        <v>97</v>
      </c>
      <c r="F191" s="17" t="s">
        <v>121</v>
      </c>
      <c r="G191" s="18" t="s">
        <v>248</v>
      </c>
      <c r="H191" s="18" t="s">
        <v>123</v>
      </c>
      <c r="I191" s="18" t="s">
        <v>453</v>
      </c>
      <c r="J191" s="18" t="s">
        <v>454</v>
      </c>
      <c r="K191" s="17" t="s">
        <v>126</v>
      </c>
      <c r="L191" s="19" t="s">
        <v>127</v>
      </c>
    </row>
    <row r="192" spans="2:12" ht="14.6" thickBot="1" x14ac:dyDescent="0.4"/>
    <row r="193" spans="2:12" ht="70.75" x14ac:dyDescent="0.35">
      <c r="B193" s="169" t="s">
        <v>1801</v>
      </c>
      <c r="C193" s="8" t="s">
        <v>65</v>
      </c>
      <c r="D193" s="8" t="s">
        <v>66</v>
      </c>
      <c r="E193" s="8" t="s">
        <v>67</v>
      </c>
      <c r="F193" s="8" t="s">
        <v>68</v>
      </c>
      <c r="G193" s="9" t="s">
        <v>455</v>
      </c>
      <c r="H193" s="9">
        <v>771.75</v>
      </c>
      <c r="I193" s="9" t="s">
        <v>456</v>
      </c>
      <c r="J193" s="9" t="s">
        <v>457</v>
      </c>
      <c r="K193" s="8" t="s">
        <v>1735</v>
      </c>
      <c r="L193" s="11" t="s">
        <v>72</v>
      </c>
    </row>
    <row r="194" spans="2:12" ht="56.6" x14ac:dyDescent="0.35">
      <c r="B194" s="170"/>
      <c r="C194" s="13" t="s">
        <v>73</v>
      </c>
      <c r="D194" s="13" t="s">
        <v>74</v>
      </c>
      <c r="E194" s="13" t="s">
        <v>67</v>
      </c>
      <c r="F194" s="13" t="s">
        <v>68</v>
      </c>
      <c r="G194" s="14" t="s">
        <v>458</v>
      </c>
      <c r="H194" s="14">
        <v>459.62</v>
      </c>
      <c r="I194" s="14" t="s">
        <v>459</v>
      </c>
      <c r="J194" s="14" t="s">
        <v>460</v>
      </c>
      <c r="K194" s="13" t="s">
        <v>1736</v>
      </c>
      <c r="L194" s="16" t="s">
        <v>72</v>
      </c>
    </row>
    <row r="195" spans="2:12" ht="99" x14ac:dyDescent="0.35">
      <c r="B195" s="170"/>
      <c r="C195" s="13" t="s">
        <v>77</v>
      </c>
      <c r="D195" s="13" t="s">
        <v>78</v>
      </c>
      <c r="E195" s="13" t="s">
        <v>79</v>
      </c>
      <c r="F195" s="13" t="s">
        <v>80</v>
      </c>
      <c r="G195" s="14" t="s">
        <v>308</v>
      </c>
      <c r="H195" s="14">
        <v>3</v>
      </c>
      <c r="I195" s="14" t="s">
        <v>461</v>
      </c>
      <c r="J195" s="14" t="s">
        <v>462</v>
      </c>
      <c r="K195" s="13" t="s">
        <v>84</v>
      </c>
      <c r="L195" s="16" t="s">
        <v>85</v>
      </c>
    </row>
    <row r="196" spans="2:12" ht="84.9" x14ac:dyDescent="0.35">
      <c r="B196" s="170"/>
      <c r="C196" s="13" t="s">
        <v>86</v>
      </c>
      <c r="D196" s="13" t="s">
        <v>87</v>
      </c>
      <c r="E196" s="13" t="s">
        <v>88</v>
      </c>
      <c r="F196" s="13" t="s">
        <v>89</v>
      </c>
      <c r="G196" s="14" t="s">
        <v>463</v>
      </c>
      <c r="H196" s="14">
        <v>0</v>
      </c>
      <c r="I196" s="14" t="s">
        <v>464</v>
      </c>
      <c r="J196" s="14" t="s">
        <v>232</v>
      </c>
      <c r="K196" s="13" t="s">
        <v>93</v>
      </c>
      <c r="L196" s="16" t="s">
        <v>94</v>
      </c>
    </row>
    <row r="197" spans="2:12" ht="70.75" x14ac:dyDescent="0.35">
      <c r="B197" s="170"/>
      <c r="C197" s="13" t="s">
        <v>95</v>
      </c>
      <c r="D197" s="13" t="s">
        <v>96</v>
      </c>
      <c r="E197" s="13" t="s">
        <v>97</v>
      </c>
      <c r="F197" s="13" t="s">
        <v>98</v>
      </c>
      <c r="G197" s="14" t="s">
        <v>99</v>
      </c>
      <c r="H197" s="14" t="s">
        <v>99</v>
      </c>
      <c r="I197" s="14" t="s">
        <v>465</v>
      </c>
      <c r="J197" s="14" t="s">
        <v>457</v>
      </c>
      <c r="K197" s="13" t="s">
        <v>102</v>
      </c>
      <c r="L197" s="16" t="s">
        <v>103</v>
      </c>
    </row>
    <row r="198" spans="2:12" ht="42.45" x14ac:dyDescent="0.35">
      <c r="B198" s="170"/>
      <c r="C198" s="13" t="s">
        <v>104</v>
      </c>
      <c r="D198" s="13" t="s">
        <v>105</v>
      </c>
      <c r="E198" s="13" t="s">
        <v>79</v>
      </c>
      <c r="F198" s="13" t="s">
        <v>106</v>
      </c>
      <c r="G198" s="14" t="s">
        <v>107</v>
      </c>
      <c r="H198" s="14">
        <v>1</v>
      </c>
      <c r="I198" s="14" t="s">
        <v>466</v>
      </c>
      <c r="J198" s="14" t="s">
        <v>460</v>
      </c>
      <c r="K198" s="13" t="s">
        <v>1737</v>
      </c>
      <c r="L198" s="16" t="s">
        <v>110</v>
      </c>
    </row>
    <row r="199" spans="2:12" ht="71.150000000000006" thickBot="1" x14ac:dyDescent="0.4">
      <c r="B199" s="170"/>
      <c r="C199" s="13" t="s">
        <v>111</v>
      </c>
      <c r="D199" s="13" t="s">
        <v>112</v>
      </c>
      <c r="E199" s="13" t="s">
        <v>79</v>
      </c>
      <c r="F199" s="22" t="s">
        <v>113</v>
      </c>
      <c r="G199" s="14" t="s">
        <v>114</v>
      </c>
      <c r="H199" s="14">
        <v>3</v>
      </c>
      <c r="I199" s="14" t="s">
        <v>467</v>
      </c>
      <c r="J199" s="14" t="s">
        <v>116</v>
      </c>
      <c r="K199" s="13" t="s">
        <v>117</v>
      </c>
      <c r="L199" s="16" t="s">
        <v>118</v>
      </c>
    </row>
    <row r="200" spans="2:12" ht="71.150000000000006" thickBot="1" x14ac:dyDescent="0.4">
      <c r="B200" s="171"/>
      <c r="C200" s="17" t="s">
        <v>119</v>
      </c>
      <c r="D200" s="17" t="s">
        <v>120</v>
      </c>
      <c r="E200" s="23" t="s">
        <v>97</v>
      </c>
      <c r="F200" s="24" t="s">
        <v>121</v>
      </c>
      <c r="G200" s="25" t="s">
        <v>221</v>
      </c>
      <c r="H200" s="18" t="s">
        <v>173</v>
      </c>
      <c r="I200" s="18" t="s">
        <v>468</v>
      </c>
      <c r="J200" s="18" t="s">
        <v>125</v>
      </c>
      <c r="K200" s="17" t="s">
        <v>126</v>
      </c>
      <c r="L200" s="19" t="s">
        <v>127</v>
      </c>
    </row>
    <row r="202" spans="2:12" ht="70.75" x14ac:dyDescent="0.35">
      <c r="B202" s="174" t="s">
        <v>1802</v>
      </c>
      <c r="C202" s="13" t="s">
        <v>65</v>
      </c>
      <c r="D202" s="13" t="s">
        <v>66</v>
      </c>
      <c r="E202" s="13" t="s">
        <v>67</v>
      </c>
      <c r="F202" s="13" t="s">
        <v>68</v>
      </c>
      <c r="G202" s="14" t="s">
        <v>469</v>
      </c>
      <c r="H202" s="15">
        <v>450</v>
      </c>
      <c r="I202" s="14" t="s">
        <v>470</v>
      </c>
      <c r="J202" s="14" t="s">
        <v>471</v>
      </c>
      <c r="K202" s="13" t="s">
        <v>1735</v>
      </c>
      <c r="L202" s="13" t="s">
        <v>72</v>
      </c>
    </row>
    <row r="203" spans="2:12" ht="56.6" x14ac:dyDescent="0.35">
      <c r="B203" s="174"/>
      <c r="C203" s="13" t="s">
        <v>73</v>
      </c>
      <c r="D203" s="13" t="s">
        <v>74</v>
      </c>
      <c r="E203" s="13" t="s">
        <v>67</v>
      </c>
      <c r="F203" s="13" t="s">
        <v>68</v>
      </c>
      <c r="G203" s="14" t="s">
        <v>472</v>
      </c>
      <c r="H203" s="15">
        <v>321.11</v>
      </c>
      <c r="I203" s="14" t="s">
        <v>473</v>
      </c>
      <c r="J203" s="14" t="s">
        <v>474</v>
      </c>
      <c r="K203" s="13" t="s">
        <v>1736</v>
      </c>
      <c r="L203" s="13" t="s">
        <v>72</v>
      </c>
    </row>
    <row r="204" spans="2:12" ht="127.3" x14ac:dyDescent="0.35">
      <c r="B204" s="174"/>
      <c r="C204" s="13" t="s">
        <v>77</v>
      </c>
      <c r="D204" s="13" t="s">
        <v>78</v>
      </c>
      <c r="E204" s="13" t="s">
        <v>79</v>
      </c>
      <c r="F204" s="13" t="s">
        <v>80</v>
      </c>
      <c r="G204" s="14" t="s">
        <v>81</v>
      </c>
      <c r="H204" s="14">
        <v>2</v>
      </c>
      <c r="I204" s="14" t="s">
        <v>475</v>
      </c>
      <c r="J204" s="14" t="s">
        <v>476</v>
      </c>
      <c r="K204" s="13" t="s">
        <v>84</v>
      </c>
      <c r="L204" s="13" t="s">
        <v>85</v>
      </c>
    </row>
    <row r="205" spans="2:12" ht="84.9" x14ac:dyDescent="0.35">
      <c r="B205" s="174"/>
      <c r="C205" s="13" t="s">
        <v>86</v>
      </c>
      <c r="D205" s="13" t="s">
        <v>87</v>
      </c>
      <c r="E205" s="13" t="s">
        <v>88</v>
      </c>
      <c r="F205" s="13" t="s">
        <v>89</v>
      </c>
      <c r="G205" s="14" t="s">
        <v>463</v>
      </c>
      <c r="H205" s="14">
        <v>0</v>
      </c>
      <c r="I205" s="14" t="s">
        <v>477</v>
      </c>
      <c r="J205" s="14" t="s">
        <v>478</v>
      </c>
      <c r="K205" s="13" t="s">
        <v>93</v>
      </c>
      <c r="L205" s="13" t="s">
        <v>94</v>
      </c>
    </row>
    <row r="206" spans="2:12" ht="70.75" x14ac:dyDescent="0.35">
      <c r="B206" s="174"/>
      <c r="C206" s="13" t="s">
        <v>95</v>
      </c>
      <c r="D206" s="13" t="s">
        <v>96</v>
      </c>
      <c r="E206" s="13" t="s">
        <v>97</v>
      </c>
      <c r="F206" s="13" t="s">
        <v>98</v>
      </c>
      <c r="G206" s="14" t="s">
        <v>99</v>
      </c>
      <c r="H206" s="14" t="s">
        <v>99</v>
      </c>
      <c r="I206" s="14" t="s">
        <v>479</v>
      </c>
      <c r="J206" s="14" t="s">
        <v>480</v>
      </c>
      <c r="K206" s="13" t="s">
        <v>102</v>
      </c>
      <c r="L206" s="13" t="s">
        <v>103</v>
      </c>
    </row>
    <row r="207" spans="2:12" ht="42.45" x14ac:dyDescent="0.35">
      <c r="B207" s="174"/>
      <c r="C207" s="13" t="s">
        <v>104</v>
      </c>
      <c r="D207" s="13" t="s">
        <v>105</v>
      </c>
      <c r="E207" s="13" t="s">
        <v>79</v>
      </c>
      <c r="F207" s="13" t="s">
        <v>106</v>
      </c>
      <c r="G207" s="14" t="s">
        <v>107</v>
      </c>
      <c r="H207" s="14">
        <v>1</v>
      </c>
      <c r="I207" s="14" t="s">
        <v>481</v>
      </c>
      <c r="J207" s="14" t="s">
        <v>474</v>
      </c>
      <c r="K207" s="13" t="s">
        <v>1737</v>
      </c>
      <c r="L207" s="13" t="s">
        <v>110</v>
      </c>
    </row>
    <row r="208" spans="2:12" ht="84.9" x14ac:dyDescent="0.35">
      <c r="B208" s="174"/>
      <c r="C208" s="13" t="s">
        <v>111</v>
      </c>
      <c r="D208" s="13" t="s">
        <v>112</v>
      </c>
      <c r="E208" s="13" t="s">
        <v>79</v>
      </c>
      <c r="F208" s="13" t="s">
        <v>113</v>
      </c>
      <c r="G208" s="14" t="s">
        <v>189</v>
      </c>
      <c r="H208" s="14">
        <v>2</v>
      </c>
      <c r="I208" s="14" t="s">
        <v>482</v>
      </c>
      <c r="J208" s="14" t="s">
        <v>483</v>
      </c>
      <c r="K208" s="13" t="s">
        <v>117</v>
      </c>
      <c r="L208" s="13" t="s">
        <v>118</v>
      </c>
    </row>
    <row r="209" spans="2:12" ht="127.3" x14ac:dyDescent="0.35">
      <c r="B209" s="174"/>
      <c r="C209" s="13" t="s">
        <v>119</v>
      </c>
      <c r="D209" s="13" t="s">
        <v>120</v>
      </c>
      <c r="E209" s="13" t="s">
        <v>97</v>
      </c>
      <c r="F209" s="13" t="s">
        <v>121</v>
      </c>
      <c r="G209" s="14" t="s">
        <v>122</v>
      </c>
      <c r="H209" s="14" t="s">
        <v>123</v>
      </c>
      <c r="I209" s="14" t="s">
        <v>484</v>
      </c>
      <c r="J209" s="14" t="s">
        <v>485</v>
      </c>
      <c r="K209" s="13" t="s">
        <v>126</v>
      </c>
      <c r="L209" s="13" t="s">
        <v>127</v>
      </c>
    </row>
    <row r="210" spans="2:12" ht="14.6" thickBot="1" x14ac:dyDescent="0.4"/>
    <row r="211" spans="2:12" ht="70.75" x14ac:dyDescent="0.35">
      <c r="B211" s="169" t="s">
        <v>1803</v>
      </c>
      <c r="C211" s="8" t="s">
        <v>65</v>
      </c>
      <c r="D211" s="8" t="s">
        <v>66</v>
      </c>
      <c r="E211" s="8" t="s">
        <v>67</v>
      </c>
      <c r="F211" s="8" t="s">
        <v>68</v>
      </c>
      <c r="G211" s="9" t="s">
        <v>486</v>
      </c>
      <c r="H211" s="9">
        <v>469.78</v>
      </c>
      <c r="I211" s="9" t="s">
        <v>487</v>
      </c>
      <c r="J211" s="9" t="s">
        <v>488</v>
      </c>
      <c r="K211" s="8" t="s">
        <v>1735</v>
      </c>
      <c r="L211" s="11" t="s">
        <v>72</v>
      </c>
    </row>
    <row r="212" spans="2:12" ht="56.6" x14ac:dyDescent="0.35">
      <c r="B212" s="170"/>
      <c r="C212" s="13" t="s">
        <v>73</v>
      </c>
      <c r="D212" s="13" t="s">
        <v>74</v>
      </c>
      <c r="E212" s="13" t="s">
        <v>67</v>
      </c>
      <c r="F212" s="13" t="s">
        <v>68</v>
      </c>
      <c r="G212" s="14" t="s">
        <v>489</v>
      </c>
      <c r="H212" s="14">
        <v>275.33</v>
      </c>
      <c r="I212" s="14" t="s">
        <v>490</v>
      </c>
      <c r="J212" s="14" t="s">
        <v>491</v>
      </c>
      <c r="K212" s="13" t="s">
        <v>1736</v>
      </c>
      <c r="L212" s="16" t="s">
        <v>72</v>
      </c>
    </row>
    <row r="213" spans="2:12" ht="99" x14ac:dyDescent="0.35">
      <c r="B213" s="170"/>
      <c r="C213" s="13" t="s">
        <v>77</v>
      </c>
      <c r="D213" s="13" t="s">
        <v>78</v>
      </c>
      <c r="E213" s="13" t="s">
        <v>79</v>
      </c>
      <c r="F213" s="13" t="s">
        <v>80</v>
      </c>
      <c r="G213" s="14" t="s">
        <v>81</v>
      </c>
      <c r="H213" s="14">
        <v>2</v>
      </c>
      <c r="I213" s="14" t="s">
        <v>492</v>
      </c>
      <c r="J213" s="14" t="s">
        <v>493</v>
      </c>
      <c r="K213" s="13" t="s">
        <v>84</v>
      </c>
      <c r="L213" s="16" t="s">
        <v>85</v>
      </c>
    </row>
    <row r="214" spans="2:12" ht="84.9" x14ac:dyDescent="0.35">
      <c r="B214" s="170"/>
      <c r="C214" s="13" t="s">
        <v>86</v>
      </c>
      <c r="D214" s="13" t="s">
        <v>87</v>
      </c>
      <c r="E214" s="13" t="s">
        <v>88</v>
      </c>
      <c r="F214" s="13" t="s">
        <v>89</v>
      </c>
      <c r="G214" s="14" t="s">
        <v>463</v>
      </c>
      <c r="H214" s="14">
        <v>0</v>
      </c>
      <c r="I214" s="14" t="s">
        <v>494</v>
      </c>
      <c r="J214" s="14" t="s">
        <v>495</v>
      </c>
      <c r="K214" s="13" t="s">
        <v>93</v>
      </c>
      <c r="L214" s="16" t="s">
        <v>94</v>
      </c>
    </row>
    <row r="215" spans="2:12" ht="70.75" x14ac:dyDescent="0.35">
      <c r="B215" s="170"/>
      <c r="C215" s="13" t="s">
        <v>95</v>
      </c>
      <c r="D215" s="13" t="s">
        <v>96</v>
      </c>
      <c r="E215" s="13" t="s">
        <v>97</v>
      </c>
      <c r="F215" s="13" t="s">
        <v>98</v>
      </c>
      <c r="G215" s="14" t="s">
        <v>99</v>
      </c>
      <c r="H215" s="14" t="s">
        <v>99</v>
      </c>
      <c r="I215" s="14" t="s">
        <v>496</v>
      </c>
      <c r="J215" s="14" t="s">
        <v>497</v>
      </c>
      <c r="K215" s="13" t="s">
        <v>102</v>
      </c>
      <c r="L215" s="16" t="s">
        <v>103</v>
      </c>
    </row>
    <row r="216" spans="2:12" ht="42.45" x14ac:dyDescent="0.35">
      <c r="B216" s="170"/>
      <c r="C216" s="13" t="s">
        <v>104</v>
      </c>
      <c r="D216" s="13" t="s">
        <v>105</v>
      </c>
      <c r="E216" s="13" t="s">
        <v>79</v>
      </c>
      <c r="F216" s="13" t="s">
        <v>106</v>
      </c>
      <c r="G216" s="14" t="s">
        <v>107</v>
      </c>
      <c r="H216" s="14">
        <v>1</v>
      </c>
      <c r="I216" s="14" t="s">
        <v>498</v>
      </c>
      <c r="J216" s="14" t="s">
        <v>491</v>
      </c>
      <c r="K216" s="13" t="s">
        <v>1737</v>
      </c>
      <c r="L216" s="16" t="s">
        <v>110</v>
      </c>
    </row>
    <row r="217" spans="2:12" ht="70.75" x14ac:dyDescent="0.35">
      <c r="B217" s="170"/>
      <c r="C217" s="13" t="s">
        <v>111</v>
      </c>
      <c r="D217" s="13" t="s">
        <v>112</v>
      </c>
      <c r="E217" s="13" t="s">
        <v>79</v>
      </c>
      <c r="F217" s="13" t="s">
        <v>113</v>
      </c>
      <c r="G217" s="14" t="s">
        <v>189</v>
      </c>
      <c r="H217" s="14">
        <v>2</v>
      </c>
      <c r="I217" s="14" t="s">
        <v>499</v>
      </c>
      <c r="J217" s="14" t="s">
        <v>500</v>
      </c>
      <c r="K217" s="13" t="s">
        <v>117</v>
      </c>
      <c r="L217" s="16" t="s">
        <v>118</v>
      </c>
    </row>
    <row r="218" spans="2:12" ht="71.150000000000006" thickBot="1" x14ac:dyDescent="0.4">
      <c r="B218" s="171"/>
      <c r="C218" s="17" t="s">
        <v>119</v>
      </c>
      <c r="D218" s="17" t="s">
        <v>120</v>
      </c>
      <c r="E218" s="17" t="s">
        <v>97</v>
      </c>
      <c r="F218" s="17" t="s">
        <v>121</v>
      </c>
      <c r="G218" s="18" t="s">
        <v>122</v>
      </c>
      <c r="H218" s="18" t="s">
        <v>123</v>
      </c>
      <c r="I218" s="18" t="s">
        <v>501</v>
      </c>
      <c r="J218" s="18" t="s">
        <v>502</v>
      </c>
      <c r="K218" s="17" t="s">
        <v>126</v>
      </c>
      <c r="L218" s="19" t="s">
        <v>127</v>
      </c>
    </row>
    <row r="219" spans="2:12" ht="14.6" thickBot="1" x14ac:dyDescent="0.4"/>
    <row r="220" spans="2:12" ht="70.75" x14ac:dyDescent="0.35">
      <c r="B220" s="169" t="s">
        <v>1804</v>
      </c>
      <c r="C220" s="8" t="s">
        <v>65</v>
      </c>
      <c r="D220" s="8" t="s">
        <v>66</v>
      </c>
      <c r="E220" s="8" t="s">
        <v>67</v>
      </c>
      <c r="F220" s="8" t="s">
        <v>68</v>
      </c>
      <c r="G220" s="9" t="s">
        <v>503</v>
      </c>
      <c r="H220" s="9">
        <v>304.08999999999997</v>
      </c>
      <c r="I220" s="9" t="s">
        <v>504</v>
      </c>
      <c r="J220" s="9" t="s">
        <v>505</v>
      </c>
      <c r="K220" s="8" t="s">
        <v>1735</v>
      </c>
      <c r="L220" s="11" t="s">
        <v>72</v>
      </c>
    </row>
    <row r="221" spans="2:12" ht="56.6" x14ac:dyDescent="0.35">
      <c r="B221" s="170"/>
      <c r="C221" s="13" t="s">
        <v>73</v>
      </c>
      <c r="D221" s="13" t="s">
        <v>74</v>
      </c>
      <c r="E221" s="13" t="s">
        <v>67</v>
      </c>
      <c r="F221" s="13" t="s">
        <v>68</v>
      </c>
      <c r="G221" s="14" t="s">
        <v>506</v>
      </c>
      <c r="H221" s="14">
        <v>203.91</v>
      </c>
      <c r="I221" s="14" t="s">
        <v>507</v>
      </c>
      <c r="J221" s="14" t="s">
        <v>508</v>
      </c>
      <c r="K221" s="13" t="s">
        <v>1736</v>
      </c>
      <c r="L221" s="16" t="s">
        <v>72</v>
      </c>
    </row>
    <row r="222" spans="2:12" ht="99" x14ac:dyDescent="0.35">
      <c r="B222" s="170"/>
      <c r="C222" s="13" t="s">
        <v>77</v>
      </c>
      <c r="D222" s="13" t="s">
        <v>78</v>
      </c>
      <c r="E222" s="13" t="s">
        <v>79</v>
      </c>
      <c r="F222" s="13" t="s">
        <v>80</v>
      </c>
      <c r="G222" s="14" t="s">
        <v>81</v>
      </c>
      <c r="H222" s="14">
        <v>2</v>
      </c>
      <c r="I222" s="14" t="s">
        <v>509</v>
      </c>
      <c r="J222" s="14" t="s">
        <v>510</v>
      </c>
      <c r="K222" s="13" t="s">
        <v>84</v>
      </c>
      <c r="L222" s="16" t="s">
        <v>85</v>
      </c>
    </row>
    <row r="223" spans="2:12" ht="84.9" x14ac:dyDescent="0.35">
      <c r="B223" s="170"/>
      <c r="C223" s="13" t="s">
        <v>86</v>
      </c>
      <c r="D223" s="13" t="s">
        <v>87</v>
      </c>
      <c r="E223" s="13" t="s">
        <v>88</v>
      </c>
      <c r="F223" s="13" t="s">
        <v>89</v>
      </c>
      <c r="G223" s="14" t="s">
        <v>90</v>
      </c>
      <c r="H223" s="14">
        <v>1</v>
      </c>
      <c r="I223" s="14" t="s">
        <v>511</v>
      </c>
      <c r="J223" s="14" t="s">
        <v>495</v>
      </c>
      <c r="K223" s="13" t="s">
        <v>93</v>
      </c>
      <c r="L223" s="16" t="s">
        <v>94</v>
      </c>
    </row>
    <row r="224" spans="2:12" ht="70.75" x14ac:dyDescent="0.35">
      <c r="B224" s="170"/>
      <c r="C224" s="13" t="s">
        <v>95</v>
      </c>
      <c r="D224" s="13" t="s">
        <v>96</v>
      </c>
      <c r="E224" s="13" t="s">
        <v>97</v>
      </c>
      <c r="F224" s="13" t="s">
        <v>98</v>
      </c>
      <c r="G224" s="14" t="s">
        <v>512</v>
      </c>
      <c r="H224" s="14" t="s">
        <v>513</v>
      </c>
      <c r="I224" s="14" t="s">
        <v>514</v>
      </c>
      <c r="J224" s="14" t="s">
        <v>515</v>
      </c>
      <c r="K224" s="13" t="s">
        <v>102</v>
      </c>
      <c r="L224" s="16" t="s">
        <v>103</v>
      </c>
    </row>
    <row r="225" spans="2:12" ht="42.45" x14ac:dyDescent="0.35">
      <c r="B225" s="170"/>
      <c r="C225" s="13" t="s">
        <v>104</v>
      </c>
      <c r="D225" s="13" t="s">
        <v>105</v>
      </c>
      <c r="E225" s="13" t="s">
        <v>79</v>
      </c>
      <c r="F225" s="13" t="s">
        <v>106</v>
      </c>
      <c r="G225" s="14" t="s">
        <v>107</v>
      </c>
      <c r="H225" s="14">
        <v>1</v>
      </c>
      <c r="I225" s="14" t="s">
        <v>516</v>
      </c>
      <c r="J225" s="14" t="s">
        <v>517</v>
      </c>
      <c r="K225" s="13" t="s">
        <v>1737</v>
      </c>
      <c r="L225" s="16" t="s">
        <v>110</v>
      </c>
    </row>
    <row r="226" spans="2:12" ht="70.75" x14ac:dyDescent="0.35">
      <c r="B226" s="170"/>
      <c r="C226" s="13" t="s">
        <v>111</v>
      </c>
      <c r="D226" s="13" t="s">
        <v>112</v>
      </c>
      <c r="E226" s="13" t="s">
        <v>79</v>
      </c>
      <c r="F226" s="13" t="s">
        <v>113</v>
      </c>
      <c r="G226" s="14" t="s">
        <v>189</v>
      </c>
      <c r="H226" s="14">
        <v>2</v>
      </c>
      <c r="I226" s="14" t="s">
        <v>1863</v>
      </c>
      <c r="J226" s="14" t="s">
        <v>1859</v>
      </c>
      <c r="K226" s="13" t="s">
        <v>117</v>
      </c>
      <c r="L226" s="16" t="s">
        <v>118</v>
      </c>
    </row>
    <row r="227" spans="2:12" ht="71.150000000000006" thickBot="1" x14ac:dyDescent="0.4">
      <c r="B227" s="171"/>
      <c r="C227" s="17" t="s">
        <v>119</v>
      </c>
      <c r="D227" s="17" t="s">
        <v>120</v>
      </c>
      <c r="E227" s="17" t="s">
        <v>97</v>
      </c>
      <c r="F227" s="17" t="s">
        <v>121</v>
      </c>
      <c r="G227" s="18" t="s">
        <v>122</v>
      </c>
      <c r="H227" s="18" t="s">
        <v>123</v>
      </c>
      <c r="I227" s="18" t="s">
        <v>518</v>
      </c>
      <c r="J227" s="18" t="s">
        <v>141</v>
      </c>
      <c r="K227" s="17" t="s">
        <v>126</v>
      </c>
      <c r="L227" s="19" t="s">
        <v>127</v>
      </c>
    </row>
    <row r="228" spans="2:12" ht="14.6" thickBot="1" x14ac:dyDescent="0.4"/>
    <row r="229" spans="2:12" ht="70.75" x14ac:dyDescent="0.35">
      <c r="B229" s="169" t="s">
        <v>1805</v>
      </c>
      <c r="C229" s="8" t="s">
        <v>65</v>
      </c>
      <c r="D229" s="8" t="s">
        <v>66</v>
      </c>
      <c r="E229" s="8" t="s">
        <v>67</v>
      </c>
      <c r="F229" s="8" t="s">
        <v>68</v>
      </c>
      <c r="G229" s="9" t="s">
        <v>519</v>
      </c>
      <c r="H229" s="9">
        <v>343.67</v>
      </c>
      <c r="I229" s="9" t="s">
        <v>520</v>
      </c>
      <c r="J229" s="9" t="s">
        <v>521</v>
      </c>
      <c r="K229" s="8" t="s">
        <v>1735</v>
      </c>
      <c r="L229" s="11" t="s">
        <v>72</v>
      </c>
    </row>
    <row r="230" spans="2:12" ht="56.6" x14ac:dyDescent="0.35">
      <c r="B230" s="170"/>
      <c r="C230" s="13" t="s">
        <v>73</v>
      </c>
      <c r="D230" s="13" t="s">
        <v>74</v>
      </c>
      <c r="E230" s="13" t="s">
        <v>67</v>
      </c>
      <c r="F230" s="13" t="s">
        <v>68</v>
      </c>
      <c r="G230" s="14" t="s">
        <v>522</v>
      </c>
      <c r="H230" s="14">
        <v>196.67</v>
      </c>
      <c r="I230" s="14" t="s">
        <v>523</v>
      </c>
      <c r="J230" s="14" t="s">
        <v>524</v>
      </c>
      <c r="K230" s="13" t="s">
        <v>1736</v>
      </c>
      <c r="L230" s="16" t="s">
        <v>72</v>
      </c>
    </row>
    <row r="231" spans="2:12" ht="113.15" x14ac:dyDescent="0.35">
      <c r="B231" s="170"/>
      <c r="C231" s="13" t="s">
        <v>77</v>
      </c>
      <c r="D231" s="13" t="s">
        <v>78</v>
      </c>
      <c r="E231" s="13" t="s">
        <v>79</v>
      </c>
      <c r="F231" s="13" t="s">
        <v>80</v>
      </c>
      <c r="G231" s="14" t="s">
        <v>308</v>
      </c>
      <c r="H231" s="14">
        <v>3</v>
      </c>
      <c r="I231" s="14" t="s">
        <v>525</v>
      </c>
      <c r="J231" s="14" t="s">
        <v>526</v>
      </c>
      <c r="K231" s="13" t="s">
        <v>84</v>
      </c>
      <c r="L231" s="16" t="s">
        <v>85</v>
      </c>
    </row>
    <row r="232" spans="2:12" ht="84.9" x14ac:dyDescent="0.35">
      <c r="B232" s="170"/>
      <c r="C232" s="13" t="s">
        <v>86</v>
      </c>
      <c r="D232" s="13" t="s">
        <v>87</v>
      </c>
      <c r="E232" s="13" t="s">
        <v>88</v>
      </c>
      <c r="F232" s="13" t="s">
        <v>89</v>
      </c>
      <c r="G232" s="14" t="s">
        <v>463</v>
      </c>
      <c r="H232" s="14">
        <v>0</v>
      </c>
      <c r="I232" s="14" t="s">
        <v>527</v>
      </c>
      <c r="J232" s="14" t="s">
        <v>528</v>
      </c>
      <c r="K232" s="13" t="s">
        <v>93</v>
      </c>
      <c r="L232" s="16" t="s">
        <v>94</v>
      </c>
    </row>
    <row r="233" spans="2:12" ht="70.75" x14ac:dyDescent="0.35">
      <c r="B233" s="170"/>
      <c r="C233" s="13" t="s">
        <v>95</v>
      </c>
      <c r="D233" s="13" t="s">
        <v>96</v>
      </c>
      <c r="E233" s="13" t="s">
        <v>97</v>
      </c>
      <c r="F233" s="13" t="s">
        <v>98</v>
      </c>
      <c r="G233" s="14" t="s">
        <v>529</v>
      </c>
      <c r="H233" s="14" t="s">
        <v>513</v>
      </c>
      <c r="I233" s="14" t="s">
        <v>530</v>
      </c>
      <c r="J233" s="14" t="s">
        <v>531</v>
      </c>
      <c r="K233" s="13" t="s">
        <v>102</v>
      </c>
      <c r="L233" s="16" t="s">
        <v>103</v>
      </c>
    </row>
    <row r="234" spans="2:12" ht="42.45" x14ac:dyDescent="0.35">
      <c r="B234" s="170"/>
      <c r="C234" s="13" t="s">
        <v>104</v>
      </c>
      <c r="D234" s="13" t="s">
        <v>105</v>
      </c>
      <c r="E234" s="13" t="s">
        <v>79</v>
      </c>
      <c r="F234" s="13" t="s">
        <v>106</v>
      </c>
      <c r="G234" s="14" t="s">
        <v>107</v>
      </c>
      <c r="H234" s="14">
        <v>1</v>
      </c>
      <c r="I234" s="14" t="s">
        <v>532</v>
      </c>
      <c r="J234" s="14" t="s">
        <v>533</v>
      </c>
      <c r="K234" s="13" t="s">
        <v>1737</v>
      </c>
      <c r="L234" s="16" t="s">
        <v>110</v>
      </c>
    </row>
    <row r="235" spans="2:12" ht="84.9" x14ac:dyDescent="0.35">
      <c r="B235" s="170"/>
      <c r="C235" s="13" t="s">
        <v>111</v>
      </c>
      <c r="D235" s="13" t="s">
        <v>112</v>
      </c>
      <c r="E235" s="13" t="s">
        <v>79</v>
      </c>
      <c r="F235" s="13" t="s">
        <v>113</v>
      </c>
      <c r="G235" s="14" t="s">
        <v>114</v>
      </c>
      <c r="H235" s="14">
        <v>3</v>
      </c>
      <c r="I235" s="14" t="s">
        <v>534</v>
      </c>
      <c r="J235" s="14" t="s">
        <v>535</v>
      </c>
      <c r="K235" s="13" t="s">
        <v>117</v>
      </c>
      <c r="L235" s="16" t="s">
        <v>118</v>
      </c>
    </row>
    <row r="236" spans="2:12" ht="141.9" thickBot="1" x14ac:dyDescent="0.4">
      <c r="B236" s="171"/>
      <c r="C236" s="17" t="s">
        <v>119</v>
      </c>
      <c r="D236" s="17" t="s">
        <v>120</v>
      </c>
      <c r="E236" s="17" t="s">
        <v>97</v>
      </c>
      <c r="F236" s="17" t="s">
        <v>121</v>
      </c>
      <c r="G236" s="18" t="s">
        <v>221</v>
      </c>
      <c r="H236" s="18" t="s">
        <v>173</v>
      </c>
      <c r="I236" s="18" t="s">
        <v>536</v>
      </c>
      <c r="J236" s="18" t="s">
        <v>537</v>
      </c>
      <c r="K236" s="17" t="s">
        <v>126</v>
      </c>
      <c r="L236" s="19" t="s">
        <v>127</v>
      </c>
    </row>
    <row r="237" spans="2:12" ht="14.6" thickBot="1" x14ac:dyDescent="0.4"/>
    <row r="238" spans="2:12" ht="70.75" x14ac:dyDescent="0.35">
      <c r="B238" s="173" t="s">
        <v>1857</v>
      </c>
      <c r="C238" s="8" t="s">
        <v>65</v>
      </c>
      <c r="D238" s="8" t="s">
        <v>66</v>
      </c>
      <c r="E238" s="8" t="s">
        <v>67</v>
      </c>
      <c r="F238" s="8" t="s">
        <v>68</v>
      </c>
      <c r="G238" s="9" t="s">
        <v>538</v>
      </c>
      <c r="H238" s="10">
        <v>228.2</v>
      </c>
      <c r="I238" s="9" t="s">
        <v>539</v>
      </c>
      <c r="J238" s="9" t="s">
        <v>540</v>
      </c>
      <c r="K238" s="8" t="s">
        <v>1735</v>
      </c>
      <c r="L238" s="11" t="s">
        <v>72</v>
      </c>
    </row>
    <row r="239" spans="2:12" ht="56.6" x14ac:dyDescent="0.35">
      <c r="B239" s="170"/>
      <c r="C239" s="13" t="s">
        <v>73</v>
      </c>
      <c r="D239" s="13" t="s">
        <v>74</v>
      </c>
      <c r="E239" s="13" t="s">
        <v>67</v>
      </c>
      <c r="F239" s="13" t="s">
        <v>68</v>
      </c>
      <c r="G239" s="14" t="s">
        <v>541</v>
      </c>
      <c r="H239" s="15">
        <v>126</v>
      </c>
      <c r="I239" s="14" t="s">
        <v>542</v>
      </c>
      <c r="J239" s="14" t="s">
        <v>543</v>
      </c>
      <c r="K239" s="13" t="s">
        <v>1736</v>
      </c>
      <c r="L239" s="16" t="s">
        <v>72</v>
      </c>
    </row>
    <row r="240" spans="2:12" ht="99" x14ac:dyDescent="0.35">
      <c r="B240" s="170"/>
      <c r="C240" s="13" t="s">
        <v>77</v>
      </c>
      <c r="D240" s="13" t="s">
        <v>78</v>
      </c>
      <c r="E240" s="13" t="s">
        <v>79</v>
      </c>
      <c r="F240" s="13" t="s">
        <v>80</v>
      </c>
      <c r="G240" s="14" t="s">
        <v>81</v>
      </c>
      <c r="H240" s="14">
        <v>2</v>
      </c>
      <c r="I240" s="14" t="s">
        <v>544</v>
      </c>
      <c r="J240" s="14" t="s">
        <v>545</v>
      </c>
      <c r="K240" s="13" t="s">
        <v>84</v>
      </c>
      <c r="L240" s="16" t="s">
        <v>85</v>
      </c>
    </row>
    <row r="241" spans="2:12" ht="84.9" x14ac:dyDescent="0.35">
      <c r="B241" s="170"/>
      <c r="C241" s="13" t="s">
        <v>86</v>
      </c>
      <c r="D241" s="13" t="s">
        <v>87</v>
      </c>
      <c r="E241" s="13" t="s">
        <v>88</v>
      </c>
      <c r="F241" s="13" t="s">
        <v>89</v>
      </c>
      <c r="G241" s="14" t="s">
        <v>90</v>
      </c>
      <c r="H241" s="14">
        <v>1</v>
      </c>
      <c r="I241" s="14" t="s">
        <v>546</v>
      </c>
      <c r="J241" s="14" t="s">
        <v>232</v>
      </c>
      <c r="K241" s="13" t="s">
        <v>93</v>
      </c>
      <c r="L241" s="16" t="s">
        <v>94</v>
      </c>
    </row>
    <row r="242" spans="2:12" ht="70.75" x14ac:dyDescent="0.35">
      <c r="B242" s="170"/>
      <c r="C242" s="13" t="s">
        <v>95</v>
      </c>
      <c r="D242" s="13" t="s">
        <v>96</v>
      </c>
      <c r="E242" s="13" t="s">
        <v>97</v>
      </c>
      <c r="F242" s="13" t="s">
        <v>98</v>
      </c>
      <c r="G242" s="14" t="s">
        <v>529</v>
      </c>
      <c r="H242" s="14" t="s">
        <v>513</v>
      </c>
      <c r="I242" s="14" t="s">
        <v>547</v>
      </c>
      <c r="J242" s="14" t="s">
        <v>543</v>
      </c>
      <c r="K242" s="13" t="s">
        <v>102</v>
      </c>
      <c r="L242" s="16" t="s">
        <v>103</v>
      </c>
    </row>
    <row r="243" spans="2:12" ht="42.45" x14ac:dyDescent="0.35">
      <c r="B243" s="170"/>
      <c r="C243" s="13" t="s">
        <v>104</v>
      </c>
      <c r="D243" s="13" t="s">
        <v>105</v>
      </c>
      <c r="E243" s="13" t="s">
        <v>79</v>
      </c>
      <c r="F243" s="13" t="s">
        <v>106</v>
      </c>
      <c r="G243" s="14" t="s">
        <v>107</v>
      </c>
      <c r="H243" s="14">
        <v>1</v>
      </c>
      <c r="I243" s="14" t="s">
        <v>548</v>
      </c>
      <c r="J243" s="14" t="s">
        <v>549</v>
      </c>
      <c r="K243" s="13" t="s">
        <v>1737</v>
      </c>
      <c r="L243" s="16" t="s">
        <v>110</v>
      </c>
    </row>
    <row r="244" spans="2:12" ht="113.15" x14ac:dyDescent="0.35">
      <c r="B244" s="170"/>
      <c r="C244" s="13" t="s">
        <v>111</v>
      </c>
      <c r="D244" s="13" t="s">
        <v>112</v>
      </c>
      <c r="E244" s="13" t="s">
        <v>79</v>
      </c>
      <c r="F244" s="13" t="s">
        <v>113</v>
      </c>
      <c r="G244" s="14" t="s">
        <v>189</v>
      </c>
      <c r="H244" s="14">
        <v>2</v>
      </c>
      <c r="I244" s="14" t="s">
        <v>1861</v>
      </c>
      <c r="J244" s="14" t="s">
        <v>1859</v>
      </c>
      <c r="K244" s="13" t="s">
        <v>117</v>
      </c>
      <c r="L244" s="16" t="s">
        <v>118</v>
      </c>
    </row>
    <row r="245" spans="2:12" ht="71.150000000000006" thickBot="1" x14ac:dyDescent="0.4">
      <c r="B245" s="171"/>
      <c r="C245" s="17" t="s">
        <v>119</v>
      </c>
      <c r="D245" s="17" t="s">
        <v>120</v>
      </c>
      <c r="E245" s="17" t="s">
        <v>97</v>
      </c>
      <c r="F245" s="17" t="s">
        <v>121</v>
      </c>
      <c r="G245" s="18" t="s">
        <v>248</v>
      </c>
      <c r="H245" s="18" t="s">
        <v>123</v>
      </c>
      <c r="I245" s="18" t="s">
        <v>550</v>
      </c>
      <c r="J245" s="18" t="s">
        <v>125</v>
      </c>
      <c r="K245" s="17" t="s">
        <v>126</v>
      </c>
      <c r="L245" s="19" t="s">
        <v>127</v>
      </c>
    </row>
    <row r="246" spans="2:12" ht="14.6" thickBot="1" x14ac:dyDescent="0.4"/>
    <row r="247" spans="2:12" ht="70.75" x14ac:dyDescent="0.35">
      <c r="B247" s="173" t="s">
        <v>1858</v>
      </c>
      <c r="C247" s="8" t="s">
        <v>65</v>
      </c>
      <c r="D247" s="8" t="s">
        <v>66</v>
      </c>
      <c r="E247" s="8" t="s">
        <v>67</v>
      </c>
      <c r="F247" s="8" t="s">
        <v>68</v>
      </c>
      <c r="G247" s="9" t="s">
        <v>551</v>
      </c>
      <c r="H247" s="10">
        <v>431.6</v>
      </c>
      <c r="I247" s="9" t="s">
        <v>552</v>
      </c>
      <c r="J247" s="9" t="s">
        <v>553</v>
      </c>
      <c r="K247" s="8" t="s">
        <v>1735</v>
      </c>
      <c r="L247" s="11" t="s">
        <v>72</v>
      </c>
    </row>
    <row r="248" spans="2:12" ht="56.6" x14ac:dyDescent="0.35">
      <c r="B248" s="170"/>
      <c r="C248" s="13" t="s">
        <v>73</v>
      </c>
      <c r="D248" s="13" t="s">
        <v>74</v>
      </c>
      <c r="E248" s="13" t="s">
        <v>67</v>
      </c>
      <c r="F248" s="13" t="s">
        <v>68</v>
      </c>
      <c r="G248" s="14" t="s">
        <v>554</v>
      </c>
      <c r="H248" s="15">
        <v>301.60000000000002</v>
      </c>
      <c r="I248" s="14" t="s">
        <v>555</v>
      </c>
      <c r="J248" s="14" t="s">
        <v>556</v>
      </c>
      <c r="K248" s="13" t="s">
        <v>1736</v>
      </c>
      <c r="L248" s="16" t="s">
        <v>72</v>
      </c>
    </row>
    <row r="249" spans="2:12" ht="99" x14ac:dyDescent="0.35">
      <c r="B249" s="170"/>
      <c r="C249" s="13" t="s">
        <v>77</v>
      </c>
      <c r="D249" s="13" t="s">
        <v>78</v>
      </c>
      <c r="E249" s="13" t="s">
        <v>79</v>
      </c>
      <c r="F249" s="13" t="s">
        <v>80</v>
      </c>
      <c r="G249" s="14" t="s">
        <v>81</v>
      </c>
      <c r="H249" s="14">
        <v>2</v>
      </c>
      <c r="I249" s="14" t="s">
        <v>557</v>
      </c>
      <c r="J249" s="14" t="s">
        <v>558</v>
      </c>
      <c r="K249" s="13" t="s">
        <v>84</v>
      </c>
      <c r="L249" s="16" t="s">
        <v>85</v>
      </c>
    </row>
    <row r="250" spans="2:12" ht="84.9" x14ac:dyDescent="0.35">
      <c r="B250" s="170"/>
      <c r="C250" s="13" t="s">
        <v>86</v>
      </c>
      <c r="D250" s="13" t="s">
        <v>87</v>
      </c>
      <c r="E250" s="13" t="s">
        <v>88</v>
      </c>
      <c r="F250" s="13" t="s">
        <v>559</v>
      </c>
      <c r="G250" s="14" t="s">
        <v>463</v>
      </c>
      <c r="H250" s="14">
        <v>0</v>
      </c>
      <c r="I250" s="14" t="s">
        <v>560</v>
      </c>
      <c r="J250" s="14" t="s">
        <v>495</v>
      </c>
      <c r="K250" s="13" t="s">
        <v>93</v>
      </c>
      <c r="L250" s="16" t="s">
        <v>94</v>
      </c>
    </row>
    <row r="251" spans="2:12" ht="70.75" x14ac:dyDescent="0.35">
      <c r="B251" s="170"/>
      <c r="C251" s="13" t="s">
        <v>95</v>
      </c>
      <c r="D251" s="13" t="s">
        <v>96</v>
      </c>
      <c r="E251" s="13" t="s">
        <v>97</v>
      </c>
      <c r="F251" s="13" t="s">
        <v>98</v>
      </c>
      <c r="G251" s="14" t="s">
        <v>561</v>
      </c>
      <c r="H251" s="14" t="s">
        <v>561</v>
      </c>
      <c r="I251" s="14" t="s">
        <v>562</v>
      </c>
      <c r="J251" s="14" t="s">
        <v>556</v>
      </c>
      <c r="K251" s="13" t="s">
        <v>102</v>
      </c>
      <c r="L251" s="16" t="s">
        <v>103</v>
      </c>
    </row>
    <row r="252" spans="2:12" ht="42.45" x14ac:dyDescent="0.35">
      <c r="B252" s="170"/>
      <c r="C252" s="13" t="s">
        <v>104</v>
      </c>
      <c r="D252" s="13" t="s">
        <v>105</v>
      </c>
      <c r="E252" s="13" t="s">
        <v>79</v>
      </c>
      <c r="F252" s="13" t="s">
        <v>106</v>
      </c>
      <c r="G252" s="14" t="s">
        <v>107</v>
      </c>
      <c r="H252" s="14">
        <v>1</v>
      </c>
      <c r="I252" s="14" t="s">
        <v>563</v>
      </c>
      <c r="J252" s="14" t="s">
        <v>564</v>
      </c>
      <c r="K252" s="13" t="s">
        <v>1737</v>
      </c>
      <c r="L252" s="16" t="s">
        <v>110</v>
      </c>
    </row>
    <row r="253" spans="2:12" ht="127.3" x14ac:dyDescent="0.35">
      <c r="B253" s="170"/>
      <c r="C253" s="13" t="s">
        <v>111</v>
      </c>
      <c r="D253" s="13" t="s">
        <v>112</v>
      </c>
      <c r="E253" s="13" t="s">
        <v>79</v>
      </c>
      <c r="F253" s="13" t="s">
        <v>113</v>
      </c>
      <c r="G253" s="14" t="s">
        <v>1860</v>
      </c>
      <c r="H253" s="14">
        <v>2</v>
      </c>
      <c r="I253" s="14" t="s">
        <v>1862</v>
      </c>
      <c r="J253" s="14" t="s">
        <v>1859</v>
      </c>
      <c r="K253" s="13" t="s">
        <v>117</v>
      </c>
      <c r="L253" s="16" t="s">
        <v>118</v>
      </c>
    </row>
    <row r="254" spans="2:12" ht="71.150000000000006" thickBot="1" x14ac:dyDescent="0.4">
      <c r="B254" s="171"/>
      <c r="C254" s="17" t="s">
        <v>119</v>
      </c>
      <c r="D254" s="17" t="s">
        <v>120</v>
      </c>
      <c r="E254" s="17" t="s">
        <v>97</v>
      </c>
      <c r="F254" s="17" t="s">
        <v>121</v>
      </c>
      <c r="G254" s="18" t="s">
        <v>221</v>
      </c>
      <c r="H254" s="18" t="s">
        <v>173</v>
      </c>
      <c r="I254" s="18" t="s">
        <v>565</v>
      </c>
      <c r="J254" s="18" t="s">
        <v>125</v>
      </c>
      <c r="K254" s="17" t="s">
        <v>126</v>
      </c>
      <c r="L254" s="19" t="s">
        <v>127</v>
      </c>
    </row>
    <row r="255" spans="2:12" ht="14.6" thickBot="1" x14ac:dyDescent="0.4"/>
    <row r="256" spans="2:12" ht="70.75" x14ac:dyDescent="0.35">
      <c r="B256" s="169" t="s">
        <v>1806</v>
      </c>
      <c r="C256" s="8" t="s">
        <v>65</v>
      </c>
      <c r="D256" s="8" t="s">
        <v>66</v>
      </c>
      <c r="E256" s="8" t="s">
        <v>67</v>
      </c>
      <c r="F256" s="8" t="s">
        <v>68</v>
      </c>
      <c r="G256" s="9" t="s">
        <v>566</v>
      </c>
      <c r="H256" s="9">
        <v>328.5</v>
      </c>
      <c r="I256" s="9" t="s">
        <v>567</v>
      </c>
      <c r="J256" s="9" t="s">
        <v>568</v>
      </c>
      <c r="K256" s="8" t="s">
        <v>1735</v>
      </c>
      <c r="L256" s="11" t="s">
        <v>72</v>
      </c>
    </row>
    <row r="257" spans="2:12" ht="56.6" x14ac:dyDescent="0.35">
      <c r="B257" s="170"/>
      <c r="C257" s="13" t="s">
        <v>73</v>
      </c>
      <c r="D257" s="13" t="s">
        <v>74</v>
      </c>
      <c r="E257" s="13" t="s">
        <v>67</v>
      </c>
      <c r="F257" s="13" t="s">
        <v>68</v>
      </c>
      <c r="G257" s="14" t="s">
        <v>569</v>
      </c>
      <c r="H257" s="14">
        <v>174.93</v>
      </c>
      <c r="I257" s="14" t="s">
        <v>570</v>
      </c>
      <c r="J257" s="14" t="s">
        <v>571</v>
      </c>
      <c r="K257" s="13" t="s">
        <v>1736</v>
      </c>
      <c r="L257" s="16" t="s">
        <v>72</v>
      </c>
    </row>
    <row r="258" spans="2:12" ht="99" x14ac:dyDescent="0.35">
      <c r="B258" s="170"/>
      <c r="C258" s="13" t="s">
        <v>77</v>
      </c>
      <c r="D258" s="13" t="s">
        <v>78</v>
      </c>
      <c r="E258" s="13" t="s">
        <v>79</v>
      </c>
      <c r="F258" s="13" t="s">
        <v>80</v>
      </c>
      <c r="G258" s="14" t="s">
        <v>81</v>
      </c>
      <c r="H258" s="14">
        <v>2</v>
      </c>
      <c r="I258" s="14" t="s">
        <v>572</v>
      </c>
      <c r="J258" s="14" t="s">
        <v>573</v>
      </c>
      <c r="K258" s="13" t="s">
        <v>84</v>
      </c>
      <c r="L258" s="16" t="s">
        <v>85</v>
      </c>
    </row>
    <row r="259" spans="2:12" ht="84.9" x14ac:dyDescent="0.35">
      <c r="B259" s="170"/>
      <c r="C259" s="13" t="s">
        <v>86</v>
      </c>
      <c r="D259" s="13" t="s">
        <v>87</v>
      </c>
      <c r="E259" s="13" t="s">
        <v>88</v>
      </c>
      <c r="F259" s="13" t="s">
        <v>89</v>
      </c>
      <c r="G259" s="14" t="s">
        <v>463</v>
      </c>
      <c r="H259" s="14">
        <v>0</v>
      </c>
      <c r="I259" s="14" t="s">
        <v>574</v>
      </c>
      <c r="J259" s="14" t="s">
        <v>495</v>
      </c>
      <c r="K259" s="13" t="s">
        <v>93</v>
      </c>
      <c r="L259" s="16" t="s">
        <v>94</v>
      </c>
    </row>
    <row r="260" spans="2:12" ht="70.75" x14ac:dyDescent="0.35">
      <c r="B260" s="170"/>
      <c r="C260" s="13" t="s">
        <v>95</v>
      </c>
      <c r="D260" s="13" t="s">
        <v>96</v>
      </c>
      <c r="E260" s="13" t="s">
        <v>97</v>
      </c>
      <c r="F260" s="13" t="s">
        <v>98</v>
      </c>
      <c r="G260" s="14" t="s">
        <v>561</v>
      </c>
      <c r="H260" s="14" t="s">
        <v>561</v>
      </c>
      <c r="I260" s="14" t="s">
        <v>575</v>
      </c>
      <c r="J260" s="14" t="s">
        <v>576</v>
      </c>
      <c r="K260" s="13" t="s">
        <v>102</v>
      </c>
      <c r="L260" s="16" t="s">
        <v>103</v>
      </c>
    </row>
    <row r="261" spans="2:12" ht="42.45" x14ac:dyDescent="0.35">
      <c r="B261" s="170"/>
      <c r="C261" s="13" t="s">
        <v>104</v>
      </c>
      <c r="D261" s="13" t="s">
        <v>105</v>
      </c>
      <c r="E261" s="13" t="s">
        <v>79</v>
      </c>
      <c r="F261" s="13" t="s">
        <v>106</v>
      </c>
      <c r="G261" s="14" t="s">
        <v>107</v>
      </c>
      <c r="H261" s="14">
        <v>1</v>
      </c>
      <c r="I261" s="14" t="s">
        <v>577</v>
      </c>
      <c r="J261" s="14" t="s">
        <v>578</v>
      </c>
      <c r="K261" s="13" t="s">
        <v>1737</v>
      </c>
      <c r="L261" s="16" t="s">
        <v>110</v>
      </c>
    </row>
    <row r="262" spans="2:12" ht="70.75" x14ac:dyDescent="0.35">
      <c r="B262" s="170"/>
      <c r="C262" s="13" t="s">
        <v>111</v>
      </c>
      <c r="D262" s="13" t="s">
        <v>112</v>
      </c>
      <c r="E262" s="13" t="s">
        <v>79</v>
      </c>
      <c r="F262" s="13" t="s">
        <v>113</v>
      </c>
      <c r="G262" s="14" t="s">
        <v>579</v>
      </c>
      <c r="H262" s="14">
        <v>1</v>
      </c>
      <c r="I262" s="14" t="s">
        <v>580</v>
      </c>
      <c r="J262" s="14" t="s">
        <v>116</v>
      </c>
      <c r="K262" s="13" t="s">
        <v>117</v>
      </c>
      <c r="L262" s="16" t="s">
        <v>118</v>
      </c>
    </row>
    <row r="263" spans="2:12" ht="99.45" thickBot="1" x14ac:dyDescent="0.4">
      <c r="B263" s="171"/>
      <c r="C263" s="17" t="s">
        <v>119</v>
      </c>
      <c r="D263" s="17" t="s">
        <v>120</v>
      </c>
      <c r="E263" s="17" t="s">
        <v>97</v>
      </c>
      <c r="F263" s="17" t="s">
        <v>121</v>
      </c>
      <c r="G263" s="18" t="s">
        <v>248</v>
      </c>
      <c r="H263" s="18" t="s">
        <v>123</v>
      </c>
      <c r="I263" s="18" t="s">
        <v>581</v>
      </c>
      <c r="J263" s="18" t="s">
        <v>582</v>
      </c>
      <c r="K263" s="17" t="s">
        <v>126</v>
      </c>
      <c r="L263" s="19" t="s">
        <v>127</v>
      </c>
    </row>
    <row r="264" spans="2:12" ht="14.6" thickBot="1" x14ac:dyDescent="0.4"/>
    <row r="265" spans="2:12" ht="70.75" x14ac:dyDescent="0.35">
      <c r="B265" s="169" t="s">
        <v>1807</v>
      </c>
      <c r="C265" s="8" t="s">
        <v>65</v>
      </c>
      <c r="D265" s="8" t="s">
        <v>66</v>
      </c>
      <c r="E265" s="8" t="s">
        <v>67</v>
      </c>
      <c r="F265" s="8" t="s">
        <v>68</v>
      </c>
      <c r="G265" s="9" t="s">
        <v>583</v>
      </c>
      <c r="H265" s="9">
        <v>180.12</v>
      </c>
      <c r="I265" s="9" t="s">
        <v>584</v>
      </c>
      <c r="J265" s="9" t="s">
        <v>585</v>
      </c>
      <c r="K265" s="8" t="s">
        <v>1735</v>
      </c>
      <c r="L265" s="11" t="s">
        <v>72</v>
      </c>
    </row>
    <row r="266" spans="2:12" ht="56.6" x14ac:dyDescent="0.35">
      <c r="B266" s="170"/>
      <c r="C266" s="13" t="s">
        <v>73</v>
      </c>
      <c r="D266" s="13" t="s">
        <v>74</v>
      </c>
      <c r="E266" s="13" t="s">
        <v>67</v>
      </c>
      <c r="F266" s="13" t="s">
        <v>68</v>
      </c>
      <c r="G266" s="14" t="s">
        <v>586</v>
      </c>
      <c r="H266" s="14">
        <v>82.24</v>
      </c>
      <c r="I266" s="14" t="s">
        <v>587</v>
      </c>
      <c r="J266" s="14" t="s">
        <v>588</v>
      </c>
      <c r="K266" s="13" t="s">
        <v>1736</v>
      </c>
      <c r="L266" s="16" t="s">
        <v>72</v>
      </c>
    </row>
    <row r="267" spans="2:12" ht="99" x14ac:dyDescent="0.35">
      <c r="B267" s="170"/>
      <c r="C267" s="13" t="s">
        <v>77</v>
      </c>
      <c r="D267" s="13" t="s">
        <v>78</v>
      </c>
      <c r="E267" s="13" t="s">
        <v>79</v>
      </c>
      <c r="F267" s="13" t="s">
        <v>80</v>
      </c>
      <c r="G267" s="14" t="s">
        <v>81</v>
      </c>
      <c r="H267" s="14">
        <v>2</v>
      </c>
      <c r="I267" s="14" t="s">
        <v>589</v>
      </c>
      <c r="J267" s="14" t="s">
        <v>590</v>
      </c>
      <c r="K267" s="13" t="s">
        <v>84</v>
      </c>
      <c r="L267" s="16" t="s">
        <v>85</v>
      </c>
    </row>
    <row r="268" spans="2:12" ht="84.9" x14ac:dyDescent="0.35">
      <c r="B268" s="170"/>
      <c r="C268" s="13" t="s">
        <v>86</v>
      </c>
      <c r="D268" s="13" t="s">
        <v>87</v>
      </c>
      <c r="E268" s="13" t="s">
        <v>88</v>
      </c>
      <c r="F268" s="13" t="s">
        <v>89</v>
      </c>
      <c r="G268" s="14" t="s">
        <v>90</v>
      </c>
      <c r="H268" s="14">
        <v>1</v>
      </c>
      <c r="I268" s="14" t="s">
        <v>591</v>
      </c>
      <c r="J268" s="14" t="s">
        <v>495</v>
      </c>
      <c r="K268" s="13" t="s">
        <v>93</v>
      </c>
      <c r="L268" s="16" t="s">
        <v>94</v>
      </c>
    </row>
    <row r="269" spans="2:12" ht="70.75" x14ac:dyDescent="0.35">
      <c r="B269" s="170"/>
      <c r="C269" s="13" t="s">
        <v>95</v>
      </c>
      <c r="D269" s="13" t="s">
        <v>96</v>
      </c>
      <c r="E269" s="13" t="s">
        <v>97</v>
      </c>
      <c r="F269" s="13" t="s">
        <v>98</v>
      </c>
      <c r="G269" s="14" t="s">
        <v>561</v>
      </c>
      <c r="H269" s="14" t="s">
        <v>561</v>
      </c>
      <c r="I269" s="14" t="s">
        <v>592</v>
      </c>
      <c r="J269" s="14"/>
      <c r="K269" s="13" t="s">
        <v>102</v>
      </c>
      <c r="L269" s="16" t="s">
        <v>103</v>
      </c>
    </row>
    <row r="270" spans="2:12" ht="42.45" x14ac:dyDescent="0.35">
      <c r="B270" s="170"/>
      <c r="C270" s="13" t="s">
        <v>104</v>
      </c>
      <c r="D270" s="13" t="s">
        <v>105</v>
      </c>
      <c r="E270" s="13" t="s">
        <v>79</v>
      </c>
      <c r="F270" s="13" t="s">
        <v>106</v>
      </c>
      <c r="G270" s="14" t="s">
        <v>107</v>
      </c>
      <c r="H270" s="14">
        <v>1</v>
      </c>
      <c r="I270" s="14" t="s">
        <v>593</v>
      </c>
      <c r="J270" s="14" t="s">
        <v>594</v>
      </c>
      <c r="K270" s="13" t="s">
        <v>1737</v>
      </c>
      <c r="L270" s="16" t="s">
        <v>110</v>
      </c>
    </row>
    <row r="271" spans="2:12" ht="99" x14ac:dyDescent="0.35">
      <c r="B271" s="170"/>
      <c r="C271" s="13" t="s">
        <v>111</v>
      </c>
      <c r="D271" s="13" t="s">
        <v>112</v>
      </c>
      <c r="E271" s="13" t="s">
        <v>79</v>
      </c>
      <c r="F271" s="13" t="s">
        <v>113</v>
      </c>
      <c r="G271" s="14" t="s">
        <v>579</v>
      </c>
      <c r="H271" s="14">
        <v>1</v>
      </c>
      <c r="I271" s="14" t="s">
        <v>595</v>
      </c>
      <c r="J271" s="14" t="s">
        <v>116</v>
      </c>
      <c r="K271" s="13" t="s">
        <v>117</v>
      </c>
      <c r="L271" s="16" t="s">
        <v>118</v>
      </c>
    </row>
    <row r="272" spans="2:12" ht="71.150000000000006" thickBot="1" x14ac:dyDescent="0.4">
      <c r="B272" s="171"/>
      <c r="C272" s="17" t="s">
        <v>119</v>
      </c>
      <c r="D272" s="17" t="s">
        <v>120</v>
      </c>
      <c r="E272" s="17" t="s">
        <v>97</v>
      </c>
      <c r="F272" s="17" t="s">
        <v>121</v>
      </c>
      <c r="G272" s="18" t="s">
        <v>436</v>
      </c>
      <c r="H272" s="18" t="s">
        <v>436</v>
      </c>
      <c r="I272" s="18" t="s">
        <v>596</v>
      </c>
      <c r="J272" s="18" t="s">
        <v>125</v>
      </c>
      <c r="K272" s="17" t="s">
        <v>126</v>
      </c>
      <c r="L272" s="19" t="s">
        <v>127</v>
      </c>
    </row>
    <row r="273" spans="2:12" ht="14.6" thickBot="1" x14ac:dyDescent="0.4"/>
    <row r="274" spans="2:12" ht="70.75" x14ac:dyDescent="0.35">
      <c r="B274" s="169" t="s">
        <v>1808</v>
      </c>
      <c r="C274" s="8" t="s">
        <v>65</v>
      </c>
      <c r="D274" s="8" t="s">
        <v>66</v>
      </c>
      <c r="E274" s="8" t="s">
        <v>67</v>
      </c>
      <c r="F274" s="8" t="s">
        <v>68</v>
      </c>
      <c r="G274" s="9" t="s">
        <v>597</v>
      </c>
      <c r="H274" s="9">
        <v>255.87</v>
      </c>
      <c r="I274" s="9" t="s">
        <v>598</v>
      </c>
      <c r="J274" s="9" t="s">
        <v>599</v>
      </c>
      <c r="K274" s="8" t="s">
        <v>1735</v>
      </c>
      <c r="L274" s="11" t="s">
        <v>72</v>
      </c>
    </row>
    <row r="275" spans="2:12" ht="56.6" x14ac:dyDescent="0.35">
      <c r="B275" s="170"/>
      <c r="C275" s="13" t="s">
        <v>73</v>
      </c>
      <c r="D275" s="13" t="s">
        <v>74</v>
      </c>
      <c r="E275" s="13" t="s">
        <v>67</v>
      </c>
      <c r="F275" s="13" t="s">
        <v>68</v>
      </c>
      <c r="G275" s="14" t="s">
        <v>600</v>
      </c>
      <c r="H275" s="14">
        <v>135.26</v>
      </c>
      <c r="I275" s="14" t="s">
        <v>601</v>
      </c>
      <c r="J275" s="14" t="s">
        <v>602</v>
      </c>
      <c r="K275" s="13" t="s">
        <v>1736</v>
      </c>
      <c r="L275" s="16" t="s">
        <v>72</v>
      </c>
    </row>
    <row r="276" spans="2:12" ht="99" x14ac:dyDescent="0.35">
      <c r="B276" s="170"/>
      <c r="C276" s="13" t="s">
        <v>77</v>
      </c>
      <c r="D276" s="13" t="s">
        <v>78</v>
      </c>
      <c r="E276" s="13" t="s">
        <v>79</v>
      </c>
      <c r="F276" s="13" t="s">
        <v>80</v>
      </c>
      <c r="G276" s="14" t="s">
        <v>81</v>
      </c>
      <c r="H276" s="14">
        <v>2</v>
      </c>
      <c r="I276" s="14" t="s">
        <v>603</v>
      </c>
      <c r="J276" s="14" t="s">
        <v>604</v>
      </c>
      <c r="K276" s="13" t="s">
        <v>84</v>
      </c>
      <c r="L276" s="16" t="s">
        <v>85</v>
      </c>
    </row>
    <row r="277" spans="2:12" ht="99" x14ac:dyDescent="0.35">
      <c r="B277" s="170"/>
      <c r="C277" s="13" t="s">
        <v>86</v>
      </c>
      <c r="D277" s="13" t="s">
        <v>87</v>
      </c>
      <c r="E277" s="13" t="s">
        <v>88</v>
      </c>
      <c r="F277" s="13" t="s">
        <v>89</v>
      </c>
      <c r="G277" s="14" t="s">
        <v>90</v>
      </c>
      <c r="H277" s="14">
        <v>1</v>
      </c>
      <c r="I277" s="14" t="s">
        <v>605</v>
      </c>
      <c r="J277" s="14" t="s">
        <v>606</v>
      </c>
      <c r="K277" s="13" t="s">
        <v>93</v>
      </c>
      <c r="L277" s="16" t="s">
        <v>94</v>
      </c>
    </row>
    <row r="278" spans="2:12" ht="70.75" x14ac:dyDescent="0.35">
      <c r="B278" s="170"/>
      <c r="C278" s="13" t="s">
        <v>95</v>
      </c>
      <c r="D278" s="13" t="s">
        <v>96</v>
      </c>
      <c r="E278" s="13" t="s">
        <v>97</v>
      </c>
      <c r="F278" s="13" t="s">
        <v>98</v>
      </c>
      <c r="G278" s="14" t="s">
        <v>561</v>
      </c>
      <c r="H278" s="14" t="s">
        <v>561</v>
      </c>
      <c r="I278" s="14" t="s">
        <v>607</v>
      </c>
      <c r="J278" s="14"/>
      <c r="K278" s="13" t="s">
        <v>102</v>
      </c>
      <c r="L278" s="16" t="s">
        <v>103</v>
      </c>
    </row>
    <row r="279" spans="2:12" ht="42.45" x14ac:dyDescent="0.35">
      <c r="B279" s="170"/>
      <c r="C279" s="13" t="s">
        <v>104</v>
      </c>
      <c r="D279" s="13" t="s">
        <v>105</v>
      </c>
      <c r="E279" s="13" t="s">
        <v>79</v>
      </c>
      <c r="F279" s="13" t="s">
        <v>106</v>
      </c>
      <c r="G279" s="14" t="s">
        <v>107</v>
      </c>
      <c r="H279" s="14">
        <v>1</v>
      </c>
      <c r="I279" s="14" t="s">
        <v>608</v>
      </c>
      <c r="J279" s="14" t="s">
        <v>609</v>
      </c>
      <c r="K279" s="13" t="s">
        <v>1737</v>
      </c>
      <c r="L279" s="16" t="s">
        <v>110</v>
      </c>
    </row>
    <row r="280" spans="2:12" ht="70.75" x14ac:dyDescent="0.35">
      <c r="B280" s="170"/>
      <c r="C280" s="13" t="s">
        <v>111</v>
      </c>
      <c r="D280" s="13" t="s">
        <v>112</v>
      </c>
      <c r="E280" s="13" t="s">
        <v>79</v>
      </c>
      <c r="F280" s="13" t="s">
        <v>113</v>
      </c>
      <c r="G280" s="14" t="s">
        <v>579</v>
      </c>
      <c r="H280" s="14">
        <v>1</v>
      </c>
      <c r="I280" s="14" t="s">
        <v>610</v>
      </c>
      <c r="J280" s="14" t="s">
        <v>116</v>
      </c>
      <c r="K280" s="13" t="s">
        <v>117</v>
      </c>
      <c r="L280" s="16" t="s">
        <v>118</v>
      </c>
    </row>
    <row r="281" spans="2:12" ht="71.150000000000006" thickBot="1" x14ac:dyDescent="0.4">
      <c r="B281" s="171"/>
      <c r="C281" s="17" t="s">
        <v>119</v>
      </c>
      <c r="D281" s="17" t="s">
        <v>120</v>
      </c>
      <c r="E281" s="17" t="s">
        <v>97</v>
      </c>
      <c r="F281" s="17" t="s">
        <v>121</v>
      </c>
      <c r="G281" s="18" t="s">
        <v>436</v>
      </c>
      <c r="H281" s="18" t="s">
        <v>436</v>
      </c>
      <c r="I281" s="18" t="s">
        <v>611</v>
      </c>
      <c r="J281" s="18" t="s">
        <v>125</v>
      </c>
      <c r="K281" s="17" t="s">
        <v>126</v>
      </c>
      <c r="L281" s="19" t="s">
        <v>127</v>
      </c>
    </row>
    <row r="282" spans="2:12" ht="14.6" thickBot="1" x14ac:dyDescent="0.4"/>
    <row r="283" spans="2:12" ht="70.75" x14ac:dyDescent="0.35">
      <c r="B283" s="169" t="s">
        <v>1809</v>
      </c>
      <c r="C283" s="8" t="s">
        <v>65</v>
      </c>
      <c r="D283" s="8" t="s">
        <v>66</v>
      </c>
      <c r="E283" s="8" t="s">
        <v>67</v>
      </c>
      <c r="F283" s="8" t="s">
        <v>68</v>
      </c>
      <c r="G283" s="9" t="s">
        <v>612</v>
      </c>
      <c r="H283" s="9">
        <v>258.26</v>
      </c>
      <c r="I283" s="9" t="s">
        <v>613</v>
      </c>
      <c r="J283" s="9" t="s">
        <v>614</v>
      </c>
      <c r="K283" s="8" t="s">
        <v>1735</v>
      </c>
      <c r="L283" s="11" t="s">
        <v>72</v>
      </c>
    </row>
    <row r="284" spans="2:12" ht="56.6" x14ac:dyDescent="0.35">
      <c r="B284" s="170"/>
      <c r="C284" s="13" t="s">
        <v>73</v>
      </c>
      <c r="D284" s="13" t="s">
        <v>74</v>
      </c>
      <c r="E284" s="13" t="s">
        <v>67</v>
      </c>
      <c r="F284" s="13" t="s">
        <v>68</v>
      </c>
      <c r="G284" s="14" t="s">
        <v>615</v>
      </c>
      <c r="H284" s="14">
        <v>131.94</v>
      </c>
      <c r="I284" s="14" t="s">
        <v>616</v>
      </c>
      <c r="J284" s="14" t="s">
        <v>617</v>
      </c>
      <c r="K284" s="13" t="s">
        <v>1736</v>
      </c>
      <c r="L284" s="16" t="s">
        <v>72</v>
      </c>
    </row>
    <row r="285" spans="2:12" ht="99" x14ac:dyDescent="0.35">
      <c r="B285" s="170"/>
      <c r="C285" s="13" t="s">
        <v>77</v>
      </c>
      <c r="D285" s="13" t="s">
        <v>78</v>
      </c>
      <c r="E285" s="13" t="s">
        <v>79</v>
      </c>
      <c r="F285" s="13" t="s">
        <v>80</v>
      </c>
      <c r="G285" s="14" t="s">
        <v>81</v>
      </c>
      <c r="H285" s="14">
        <v>2</v>
      </c>
      <c r="I285" s="14" t="s">
        <v>618</v>
      </c>
      <c r="J285" s="14" t="s">
        <v>619</v>
      </c>
      <c r="K285" s="13" t="s">
        <v>84</v>
      </c>
      <c r="L285" s="16" t="s">
        <v>85</v>
      </c>
    </row>
    <row r="286" spans="2:12" ht="84.9" x14ac:dyDescent="0.35">
      <c r="B286" s="170"/>
      <c r="C286" s="13" t="s">
        <v>86</v>
      </c>
      <c r="D286" s="13" t="s">
        <v>87</v>
      </c>
      <c r="E286" s="13" t="s">
        <v>88</v>
      </c>
      <c r="F286" s="13" t="s">
        <v>89</v>
      </c>
      <c r="G286" s="14" t="s">
        <v>463</v>
      </c>
      <c r="H286" s="14">
        <v>0</v>
      </c>
      <c r="I286" s="14" t="s">
        <v>620</v>
      </c>
      <c r="J286" s="14" t="s">
        <v>495</v>
      </c>
      <c r="K286" s="13" t="s">
        <v>93</v>
      </c>
      <c r="L286" s="16" t="s">
        <v>94</v>
      </c>
    </row>
    <row r="287" spans="2:12" ht="70.75" x14ac:dyDescent="0.35">
      <c r="B287" s="170"/>
      <c r="C287" s="13" t="s">
        <v>95</v>
      </c>
      <c r="D287" s="13" t="s">
        <v>96</v>
      </c>
      <c r="E287" s="13" t="s">
        <v>97</v>
      </c>
      <c r="F287" s="13" t="s">
        <v>98</v>
      </c>
      <c r="G287" s="14" t="s">
        <v>561</v>
      </c>
      <c r="H287" s="14" t="s">
        <v>561</v>
      </c>
      <c r="I287" s="14" t="s">
        <v>621</v>
      </c>
      <c r="J287" s="14" t="s">
        <v>576</v>
      </c>
      <c r="K287" s="13" t="s">
        <v>102</v>
      </c>
      <c r="L287" s="16" t="s">
        <v>103</v>
      </c>
    </row>
    <row r="288" spans="2:12" ht="42.45" x14ac:dyDescent="0.35">
      <c r="B288" s="170"/>
      <c r="C288" s="13" t="s">
        <v>104</v>
      </c>
      <c r="D288" s="13" t="s">
        <v>105</v>
      </c>
      <c r="E288" s="13" t="s">
        <v>79</v>
      </c>
      <c r="F288" s="13" t="s">
        <v>106</v>
      </c>
      <c r="G288" s="14" t="s">
        <v>107</v>
      </c>
      <c r="H288" s="14">
        <v>1</v>
      </c>
      <c r="I288" s="14" t="s">
        <v>622</v>
      </c>
      <c r="J288" s="14" t="s">
        <v>623</v>
      </c>
      <c r="K288" s="13" t="s">
        <v>1737</v>
      </c>
      <c r="L288" s="16" t="s">
        <v>110</v>
      </c>
    </row>
    <row r="289" spans="2:12" ht="70.75" x14ac:dyDescent="0.35">
      <c r="B289" s="170"/>
      <c r="C289" s="13" t="s">
        <v>111</v>
      </c>
      <c r="D289" s="13" t="s">
        <v>112</v>
      </c>
      <c r="E289" s="13" t="s">
        <v>79</v>
      </c>
      <c r="F289" s="13" t="s">
        <v>113</v>
      </c>
      <c r="G289" s="14" t="s">
        <v>579</v>
      </c>
      <c r="H289" s="14">
        <v>1</v>
      </c>
      <c r="I289" s="14" t="s">
        <v>624</v>
      </c>
      <c r="J289" s="14" t="s">
        <v>116</v>
      </c>
      <c r="K289" s="13" t="s">
        <v>117</v>
      </c>
      <c r="L289" s="16" t="s">
        <v>118</v>
      </c>
    </row>
    <row r="290" spans="2:12" ht="71.150000000000006" thickBot="1" x14ac:dyDescent="0.4">
      <c r="B290" s="171"/>
      <c r="C290" s="17" t="s">
        <v>119</v>
      </c>
      <c r="D290" s="17" t="s">
        <v>120</v>
      </c>
      <c r="E290" s="17" t="s">
        <v>97</v>
      </c>
      <c r="F290" s="17" t="s">
        <v>121</v>
      </c>
      <c r="G290" s="18" t="s">
        <v>436</v>
      </c>
      <c r="H290" s="18" t="s">
        <v>436</v>
      </c>
      <c r="I290" s="18" t="s">
        <v>625</v>
      </c>
      <c r="J290" s="18" t="s">
        <v>125</v>
      </c>
      <c r="K290" s="17" t="s">
        <v>126</v>
      </c>
      <c r="L290" s="19" t="s">
        <v>127</v>
      </c>
    </row>
    <row r="291" spans="2:12" ht="14.6" thickBot="1" x14ac:dyDescent="0.4"/>
    <row r="292" spans="2:12" ht="70.75" x14ac:dyDescent="0.35">
      <c r="B292" s="169" t="s">
        <v>1810</v>
      </c>
      <c r="C292" s="8" t="s">
        <v>65</v>
      </c>
      <c r="D292" s="8" t="s">
        <v>66</v>
      </c>
      <c r="E292" s="8" t="s">
        <v>67</v>
      </c>
      <c r="F292" s="8" t="s">
        <v>68</v>
      </c>
      <c r="G292" s="9" t="s">
        <v>626</v>
      </c>
      <c r="H292" s="9">
        <v>307.61</v>
      </c>
      <c r="I292" s="9" t="s">
        <v>627</v>
      </c>
      <c r="J292" s="9" t="s">
        <v>628</v>
      </c>
      <c r="K292" s="8" t="s">
        <v>1735</v>
      </c>
      <c r="L292" s="11" t="s">
        <v>72</v>
      </c>
    </row>
    <row r="293" spans="2:12" ht="56.6" x14ac:dyDescent="0.35">
      <c r="B293" s="170"/>
      <c r="C293" s="13" t="s">
        <v>73</v>
      </c>
      <c r="D293" s="13" t="s">
        <v>74</v>
      </c>
      <c r="E293" s="13" t="s">
        <v>67</v>
      </c>
      <c r="F293" s="13" t="s">
        <v>68</v>
      </c>
      <c r="G293" s="14" t="s">
        <v>629</v>
      </c>
      <c r="H293" s="14">
        <v>181.61</v>
      </c>
      <c r="I293" s="14" t="s">
        <v>630</v>
      </c>
      <c r="J293" s="14" t="s">
        <v>631</v>
      </c>
      <c r="K293" s="13" t="s">
        <v>1736</v>
      </c>
      <c r="L293" s="16" t="s">
        <v>72</v>
      </c>
    </row>
    <row r="294" spans="2:12" ht="99" x14ac:dyDescent="0.35">
      <c r="B294" s="170"/>
      <c r="C294" s="13" t="s">
        <v>77</v>
      </c>
      <c r="D294" s="13" t="s">
        <v>78</v>
      </c>
      <c r="E294" s="13" t="s">
        <v>79</v>
      </c>
      <c r="F294" s="13" t="s">
        <v>80</v>
      </c>
      <c r="G294" s="14" t="s">
        <v>81</v>
      </c>
      <c r="H294" s="14">
        <v>2</v>
      </c>
      <c r="I294" s="14" t="s">
        <v>632</v>
      </c>
      <c r="J294" s="14" t="s">
        <v>633</v>
      </c>
      <c r="K294" s="13" t="s">
        <v>84</v>
      </c>
      <c r="L294" s="16" t="s">
        <v>85</v>
      </c>
    </row>
    <row r="295" spans="2:12" ht="84.9" x14ac:dyDescent="0.35">
      <c r="B295" s="170"/>
      <c r="C295" s="13" t="s">
        <v>86</v>
      </c>
      <c r="D295" s="13" t="s">
        <v>87</v>
      </c>
      <c r="E295" s="13" t="s">
        <v>88</v>
      </c>
      <c r="F295" s="13" t="s">
        <v>89</v>
      </c>
      <c r="G295" s="14" t="s">
        <v>90</v>
      </c>
      <c r="H295" s="14">
        <v>1</v>
      </c>
      <c r="I295" s="14" t="s">
        <v>634</v>
      </c>
      <c r="J295" s="14" t="s">
        <v>635</v>
      </c>
      <c r="K295" s="13" t="s">
        <v>93</v>
      </c>
      <c r="L295" s="16" t="s">
        <v>94</v>
      </c>
    </row>
    <row r="296" spans="2:12" ht="70.75" x14ac:dyDescent="0.35">
      <c r="B296" s="170"/>
      <c r="C296" s="13" t="s">
        <v>95</v>
      </c>
      <c r="D296" s="13" t="s">
        <v>96</v>
      </c>
      <c r="E296" s="13" t="s">
        <v>97</v>
      </c>
      <c r="F296" s="13" t="s">
        <v>98</v>
      </c>
      <c r="G296" s="14" t="s">
        <v>561</v>
      </c>
      <c r="H296" s="14" t="s">
        <v>561</v>
      </c>
      <c r="I296" s="14" t="s">
        <v>636</v>
      </c>
      <c r="J296" s="14" t="s">
        <v>637</v>
      </c>
      <c r="K296" s="13" t="s">
        <v>102</v>
      </c>
      <c r="L296" s="16" t="s">
        <v>103</v>
      </c>
    </row>
    <row r="297" spans="2:12" ht="42.45" x14ac:dyDescent="0.35">
      <c r="B297" s="170"/>
      <c r="C297" s="13" t="s">
        <v>104</v>
      </c>
      <c r="D297" s="13" t="s">
        <v>105</v>
      </c>
      <c r="E297" s="13" t="s">
        <v>79</v>
      </c>
      <c r="F297" s="13" t="s">
        <v>106</v>
      </c>
      <c r="G297" s="14" t="s">
        <v>107</v>
      </c>
      <c r="H297" s="14">
        <v>1</v>
      </c>
      <c r="I297" s="14" t="s">
        <v>638</v>
      </c>
      <c r="J297" s="14" t="s">
        <v>639</v>
      </c>
      <c r="K297" s="13" t="s">
        <v>1737</v>
      </c>
      <c r="L297" s="16" t="s">
        <v>110</v>
      </c>
    </row>
    <row r="298" spans="2:12" ht="84.9" x14ac:dyDescent="0.35">
      <c r="B298" s="170"/>
      <c r="C298" s="13" t="s">
        <v>111</v>
      </c>
      <c r="D298" s="13" t="s">
        <v>112</v>
      </c>
      <c r="E298" s="13" t="s">
        <v>79</v>
      </c>
      <c r="F298" s="13" t="s">
        <v>113</v>
      </c>
      <c r="G298" s="14" t="s">
        <v>189</v>
      </c>
      <c r="H298" s="14">
        <v>2</v>
      </c>
      <c r="I298" s="14" t="s">
        <v>640</v>
      </c>
      <c r="J298" s="14" t="s">
        <v>641</v>
      </c>
      <c r="K298" s="13" t="s">
        <v>117</v>
      </c>
      <c r="L298" s="16" t="s">
        <v>118</v>
      </c>
    </row>
    <row r="299" spans="2:12" ht="113.6" thickBot="1" x14ac:dyDescent="0.4">
      <c r="B299" s="171"/>
      <c r="C299" s="17" t="s">
        <v>119</v>
      </c>
      <c r="D299" s="17" t="s">
        <v>120</v>
      </c>
      <c r="E299" s="17" t="s">
        <v>97</v>
      </c>
      <c r="F299" s="17" t="s">
        <v>121</v>
      </c>
      <c r="G299" s="18" t="s">
        <v>221</v>
      </c>
      <c r="H299" s="18" t="s">
        <v>173</v>
      </c>
      <c r="I299" s="18" t="s">
        <v>642</v>
      </c>
      <c r="J299" s="18" t="s">
        <v>643</v>
      </c>
      <c r="K299" s="17" t="s">
        <v>126</v>
      </c>
      <c r="L299" s="19" t="s">
        <v>127</v>
      </c>
    </row>
    <row r="301" spans="2:12" ht="14.6" thickBot="1" x14ac:dyDescent="0.4"/>
    <row r="302" spans="2:12" ht="70.75" x14ac:dyDescent="0.35">
      <c r="B302" s="169" t="s">
        <v>1811</v>
      </c>
      <c r="C302" s="8" t="s">
        <v>65</v>
      </c>
      <c r="D302" s="8" t="s">
        <v>66</v>
      </c>
      <c r="E302" s="8" t="s">
        <v>67</v>
      </c>
      <c r="F302" s="8" t="s">
        <v>68</v>
      </c>
      <c r="G302" s="9" t="s">
        <v>644</v>
      </c>
      <c r="H302" s="9">
        <v>653.11</v>
      </c>
      <c r="I302" s="9" t="s">
        <v>645</v>
      </c>
      <c r="J302" s="9" t="s">
        <v>646</v>
      </c>
      <c r="K302" s="8" t="s">
        <v>1735</v>
      </c>
      <c r="L302" s="11" t="s">
        <v>72</v>
      </c>
    </row>
    <row r="303" spans="2:12" ht="56.6" x14ac:dyDescent="0.35">
      <c r="B303" s="170"/>
      <c r="C303" s="13" t="s">
        <v>73</v>
      </c>
      <c r="D303" s="13" t="s">
        <v>74</v>
      </c>
      <c r="E303" s="13" t="s">
        <v>67</v>
      </c>
      <c r="F303" s="13" t="s">
        <v>68</v>
      </c>
      <c r="G303" s="14" t="s">
        <v>647</v>
      </c>
      <c r="H303" s="14">
        <v>365.44</v>
      </c>
      <c r="I303" s="14" t="s">
        <v>648</v>
      </c>
      <c r="J303" s="14" t="s">
        <v>646</v>
      </c>
      <c r="K303" s="13" t="s">
        <v>1736</v>
      </c>
      <c r="L303" s="16" t="s">
        <v>72</v>
      </c>
    </row>
    <row r="304" spans="2:12" ht="99" x14ac:dyDescent="0.35">
      <c r="B304" s="170"/>
      <c r="C304" s="13" t="s">
        <v>77</v>
      </c>
      <c r="D304" s="13" t="s">
        <v>78</v>
      </c>
      <c r="E304" s="13" t="s">
        <v>79</v>
      </c>
      <c r="F304" s="13" t="s">
        <v>80</v>
      </c>
      <c r="G304" s="14" t="s">
        <v>308</v>
      </c>
      <c r="H304" s="14">
        <v>3</v>
      </c>
      <c r="I304" s="14" t="s">
        <v>649</v>
      </c>
      <c r="J304" s="14" t="s">
        <v>650</v>
      </c>
      <c r="K304" s="13" t="s">
        <v>84</v>
      </c>
      <c r="L304" s="16" t="s">
        <v>85</v>
      </c>
    </row>
    <row r="305" spans="2:12" ht="84.9" x14ac:dyDescent="0.35">
      <c r="B305" s="170"/>
      <c r="C305" s="13" t="s">
        <v>86</v>
      </c>
      <c r="D305" s="13" t="s">
        <v>87</v>
      </c>
      <c r="E305" s="13" t="s">
        <v>88</v>
      </c>
      <c r="F305" s="13" t="s">
        <v>89</v>
      </c>
      <c r="G305" s="14" t="s">
        <v>463</v>
      </c>
      <c r="H305" s="14">
        <v>0</v>
      </c>
      <c r="I305" s="14" t="s">
        <v>651</v>
      </c>
      <c r="J305" s="14" t="s">
        <v>495</v>
      </c>
      <c r="K305" s="13" t="s">
        <v>93</v>
      </c>
      <c r="L305" s="16" t="s">
        <v>94</v>
      </c>
    </row>
    <row r="306" spans="2:12" ht="70.75" x14ac:dyDescent="0.35">
      <c r="B306" s="170"/>
      <c r="C306" s="13" t="s">
        <v>95</v>
      </c>
      <c r="D306" s="13" t="s">
        <v>96</v>
      </c>
      <c r="E306" s="13" t="s">
        <v>97</v>
      </c>
      <c r="F306" s="13" t="s">
        <v>98</v>
      </c>
      <c r="G306" s="14" t="s">
        <v>512</v>
      </c>
      <c r="H306" s="14" t="s">
        <v>513</v>
      </c>
      <c r="I306" s="14" t="s">
        <v>652</v>
      </c>
      <c r="J306" s="14" t="s">
        <v>653</v>
      </c>
      <c r="K306" s="13" t="s">
        <v>102</v>
      </c>
      <c r="L306" s="16" t="s">
        <v>103</v>
      </c>
    </row>
    <row r="307" spans="2:12" ht="42.45" x14ac:dyDescent="0.35">
      <c r="B307" s="170"/>
      <c r="C307" s="13" t="s">
        <v>104</v>
      </c>
      <c r="D307" s="13" t="s">
        <v>105</v>
      </c>
      <c r="E307" s="13" t="s">
        <v>79</v>
      </c>
      <c r="F307" s="13" t="s">
        <v>106</v>
      </c>
      <c r="G307" s="14" t="s">
        <v>218</v>
      </c>
      <c r="H307" s="14">
        <v>3</v>
      </c>
      <c r="I307" s="14" t="s">
        <v>654</v>
      </c>
      <c r="J307" s="14" t="s">
        <v>655</v>
      </c>
      <c r="K307" s="13" t="s">
        <v>1737</v>
      </c>
      <c r="L307" s="16" t="s">
        <v>110</v>
      </c>
    </row>
    <row r="308" spans="2:12" ht="70.75" x14ac:dyDescent="0.35">
      <c r="B308" s="170"/>
      <c r="C308" s="13" t="s">
        <v>111</v>
      </c>
      <c r="D308" s="13" t="s">
        <v>112</v>
      </c>
      <c r="E308" s="13" t="s">
        <v>79</v>
      </c>
      <c r="F308" s="13" t="s">
        <v>113</v>
      </c>
      <c r="G308" s="14" t="s">
        <v>189</v>
      </c>
      <c r="H308" s="14">
        <v>2</v>
      </c>
      <c r="I308" s="14" t="s">
        <v>656</v>
      </c>
      <c r="J308" s="14" t="s">
        <v>116</v>
      </c>
      <c r="K308" s="13" t="s">
        <v>117</v>
      </c>
      <c r="L308" s="16" t="s">
        <v>118</v>
      </c>
    </row>
    <row r="309" spans="2:12" ht="71.150000000000006" thickBot="1" x14ac:dyDescent="0.4">
      <c r="B309" s="171"/>
      <c r="C309" s="17" t="s">
        <v>119</v>
      </c>
      <c r="D309" s="17" t="s">
        <v>120</v>
      </c>
      <c r="E309" s="17" t="s">
        <v>97</v>
      </c>
      <c r="F309" s="17" t="s">
        <v>121</v>
      </c>
      <c r="G309" s="18" t="s">
        <v>221</v>
      </c>
      <c r="H309" s="18" t="s">
        <v>173</v>
      </c>
      <c r="I309" s="18" t="s">
        <v>657</v>
      </c>
      <c r="J309" s="18" t="s">
        <v>125</v>
      </c>
      <c r="K309" s="17" t="s">
        <v>126</v>
      </c>
      <c r="L309" s="19" t="s">
        <v>127</v>
      </c>
    </row>
    <row r="310" spans="2:12" ht="14.6" thickBot="1" x14ac:dyDescent="0.4"/>
    <row r="311" spans="2:12" ht="70.75" x14ac:dyDescent="0.35">
      <c r="B311" s="169" t="s">
        <v>1812</v>
      </c>
      <c r="C311" s="8" t="s">
        <v>65</v>
      </c>
      <c r="D311" s="8" t="s">
        <v>66</v>
      </c>
      <c r="E311" s="8" t="s">
        <v>67</v>
      </c>
      <c r="F311" s="8" t="s">
        <v>68</v>
      </c>
      <c r="G311" s="9" t="s">
        <v>658</v>
      </c>
      <c r="H311" s="9">
        <v>613.15</v>
      </c>
      <c r="I311" s="9" t="s">
        <v>659</v>
      </c>
      <c r="J311" s="9" t="s">
        <v>660</v>
      </c>
      <c r="K311" s="8" t="s">
        <v>1735</v>
      </c>
      <c r="L311" s="11" t="s">
        <v>72</v>
      </c>
    </row>
    <row r="312" spans="2:12" ht="56.6" x14ac:dyDescent="0.35">
      <c r="B312" s="170"/>
      <c r="C312" s="13" t="s">
        <v>73</v>
      </c>
      <c r="D312" s="13" t="s">
        <v>74</v>
      </c>
      <c r="E312" s="13" t="s">
        <v>67</v>
      </c>
      <c r="F312" s="13" t="s">
        <v>68</v>
      </c>
      <c r="G312" s="14" t="s">
        <v>661</v>
      </c>
      <c r="H312" s="14">
        <v>505.96</v>
      </c>
      <c r="I312" s="14" t="s">
        <v>662</v>
      </c>
      <c r="J312" s="14" t="s">
        <v>663</v>
      </c>
      <c r="K312" s="13" t="s">
        <v>1736</v>
      </c>
      <c r="L312" s="16" t="s">
        <v>72</v>
      </c>
    </row>
    <row r="313" spans="2:12" ht="131.6" customHeight="1" x14ac:dyDescent="0.35">
      <c r="B313" s="170"/>
      <c r="C313" s="13" t="s">
        <v>77</v>
      </c>
      <c r="D313" s="13" t="s">
        <v>78</v>
      </c>
      <c r="E313" s="13" t="s">
        <v>79</v>
      </c>
      <c r="F313" s="13" t="s">
        <v>80</v>
      </c>
      <c r="G313" s="14" t="s">
        <v>308</v>
      </c>
      <c r="H313" s="14">
        <v>3</v>
      </c>
      <c r="I313" s="14" t="s">
        <v>664</v>
      </c>
      <c r="J313" s="14" t="s">
        <v>665</v>
      </c>
      <c r="K313" s="13" t="s">
        <v>84</v>
      </c>
      <c r="L313" s="16" t="s">
        <v>85</v>
      </c>
    </row>
    <row r="314" spans="2:12" ht="84.9" x14ac:dyDescent="0.35">
      <c r="B314" s="170"/>
      <c r="C314" s="13" t="s">
        <v>86</v>
      </c>
      <c r="D314" s="13" t="s">
        <v>87</v>
      </c>
      <c r="E314" s="13" t="s">
        <v>88</v>
      </c>
      <c r="F314" s="13" t="s">
        <v>89</v>
      </c>
      <c r="G314" s="14" t="s">
        <v>463</v>
      </c>
      <c r="H314" s="14">
        <v>0</v>
      </c>
      <c r="I314" s="14" t="s">
        <v>666</v>
      </c>
      <c r="J314" s="14" t="s">
        <v>667</v>
      </c>
      <c r="K314" s="13" t="s">
        <v>93</v>
      </c>
      <c r="L314" s="16" t="s">
        <v>94</v>
      </c>
    </row>
    <row r="315" spans="2:12" ht="70.75" x14ac:dyDescent="0.35">
      <c r="B315" s="170"/>
      <c r="C315" s="13" t="s">
        <v>95</v>
      </c>
      <c r="D315" s="13" t="s">
        <v>96</v>
      </c>
      <c r="E315" s="13" t="s">
        <v>97</v>
      </c>
      <c r="F315" s="13" t="s">
        <v>98</v>
      </c>
      <c r="G315" s="14" t="s">
        <v>668</v>
      </c>
      <c r="H315" s="14" t="s">
        <v>669</v>
      </c>
      <c r="I315" s="14" t="s">
        <v>670</v>
      </c>
      <c r="J315" s="14" t="s">
        <v>671</v>
      </c>
      <c r="K315" s="13" t="s">
        <v>102</v>
      </c>
      <c r="L315" s="16" t="s">
        <v>103</v>
      </c>
    </row>
    <row r="316" spans="2:12" ht="42.45" x14ac:dyDescent="0.35">
      <c r="B316" s="170"/>
      <c r="C316" s="13" t="s">
        <v>104</v>
      </c>
      <c r="D316" s="13" t="s">
        <v>105</v>
      </c>
      <c r="E316" s="13" t="s">
        <v>79</v>
      </c>
      <c r="F316" s="13" t="s">
        <v>106</v>
      </c>
      <c r="G316" s="14" t="s">
        <v>218</v>
      </c>
      <c r="H316" s="14">
        <v>3</v>
      </c>
      <c r="I316" s="14" t="s">
        <v>672</v>
      </c>
      <c r="J316" s="14" t="s">
        <v>673</v>
      </c>
      <c r="K316" s="13" t="s">
        <v>1737</v>
      </c>
      <c r="L316" s="16" t="s">
        <v>110</v>
      </c>
    </row>
    <row r="317" spans="2:12" ht="70.75" x14ac:dyDescent="0.35">
      <c r="B317" s="170"/>
      <c r="C317" s="13" t="s">
        <v>111</v>
      </c>
      <c r="D317" s="13" t="s">
        <v>112</v>
      </c>
      <c r="E317" s="13" t="s">
        <v>79</v>
      </c>
      <c r="F317" s="13" t="s">
        <v>113</v>
      </c>
      <c r="G317" s="14" t="s">
        <v>189</v>
      </c>
      <c r="H317" s="14">
        <v>2</v>
      </c>
      <c r="I317" s="14" t="s">
        <v>674</v>
      </c>
      <c r="J317" s="14" t="s">
        <v>116</v>
      </c>
      <c r="K317" s="13" t="s">
        <v>117</v>
      </c>
      <c r="L317" s="16" t="s">
        <v>118</v>
      </c>
    </row>
    <row r="318" spans="2:12" ht="132.55000000000001" customHeight="1" thickBot="1" x14ac:dyDescent="0.4">
      <c r="B318" s="171"/>
      <c r="C318" s="17" t="s">
        <v>119</v>
      </c>
      <c r="D318" s="17" t="s">
        <v>120</v>
      </c>
      <c r="E318" s="17" t="s">
        <v>97</v>
      </c>
      <c r="F318" s="17" t="s">
        <v>121</v>
      </c>
      <c r="G318" s="18" t="s">
        <v>248</v>
      </c>
      <c r="H318" s="18" t="s">
        <v>123</v>
      </c>
      <c r="I318" s="18" t="s">
        <v>675</v>
      </c>
      <c r="J318" s="18" t="s">
        <v>676</v>
      </c>
      <c r="K318" s="17" t="s">
        <v>126</v>
      </c>
      <c r="L318" s="19" t="s">
        <v>127</v>
      </c>
    </row>
    <row r="319" spans="2:12" ht="14.6" thickBot="1" x14ac:dyDescent="0.4"/>
    <row r="320" spans="2:12" ht="70.75" x14ac:dyDescent="0.35">
      <c r="B320" s="169" t="s">
        <v>1813</v>
      </c>
      <c r="C320" s="8" t="s">
        <v>65</v>
      </c>
      <c r="D320" s="8" t="s">
        <v>66</v>
      </c>
      <c r="E320" s="8" t="s">
        <v>67</v>
      </c>
      <c r="F320" s="8" t="s">
        <v>68</v>
      </c>
      <c r="G320" s="9" t="s">
        <v>677</v>
      </c>
      <c r="H320" s="10">
        <v>641.20000000000005</v>
      </c>
      <c r="I320" s="9" t="s">
        <v>678</v>
      </c>
      <c r="J320" s="9" t="s">
        <v>679</v>
      </c>
      <c r="K320" s="8" t="s">
        <v>1735</v>
      </c>
      <c r="L320" s="11" t="s">
        <v>72</v>
      </c>
    </row>
    <row r="321" spans="2:12" ht="56.6" x14ac:dyDescent="0.35">
      <c r="B321" s="170"/>
      <c r="C321" s="13" t="s">
        <v>73</v>
      </c>
      <c r="D321" s="13" t="s">
        <v>74</v>
      </c>
      <c r="E321" s="13" t="s">
        <v>67</v>
      </c>
      <c r="F321" s="13" t="s">
        <v>68</v>
      </c>
      <c r="G321" s="14" t="s">
        <v>680</v>
      </c>
      <c r="H321" s="15">
        <v>381.6</v>
      </c>
      <c r="I321" s="14" t="s">
        <v>681</v>
      </c>
      <c r="J321" s="14" t="s">
        <v>682</v>
      </c>
      <c r="K321" s="13" t="s">
        <v>1736</v>
      </c>
      <c r="L321" s="16" t="s">
        <v>72</v>
      </c>
    </row>
    <row r="322" spans="2:12" ht="99" x14ac:dyDescent="0.35">
      <c r="B322" s="170"/>
      <c r="C322" s="13" t="s">
        <v>77</v>
      </c>
      <c r="D322" s="13" t="s">
        <v>78</v>
      </c>
      <c r="E322" s="13" t="s">
        <v>79</v>
      </c>
      <c r="F322" s="13" t="s">
        <v>80</v>
      </c>
      <c r="G322" s="14" t="s">
        <v>308</v>
      </c>
      <c r="H322" s="14">
        <v>3</v>
      </c>
      <c r="I322" s="14" t="s">
        <v>683</v>
      </c>
      <c r="J322" s="14" t="s">
        <v>684</v>
      </c>
      <c r="K322" s="13" t="s">
        <v>84</v>
      </c>
      <c r="L322" s="16" t="s">
        <v>85</v>
      </c>
    </row>
    <row r="323" spans="2:12" ht="84.9" x14ac:dyDescent="0.35">
      <c r="B323" s="170"/>
      <c r="C323" s="13" t="s">
        <v>86</v>
      </c>
      <c r="D323" s="13" t="s">
        <v>87</v>
      </c>
      <c r="E323" s="13" t="s">
        <v>88</v>
      </c>
      <c r="F323" s="13" t="s">
        <v>89</v>
      </c>
      <c r="G323" s="14" t="s">
        <v>463</v>
      </c>
      <c r="H323" s="14">
        <v>0</v>
      </c>
      <c r="I323" s="14" t="s">
        <v>685</v>
      </c>
      <c r="J323" s="14" t="s">
        <v>686</v>
      </c>
      <c r="K323" s="13" t="s">
        <v>93</v>
      </c>
      <c r="L323" s="16" t="s">
        <v>94</v>
      </c>
    </row>
    <row r="324" spans="2:12" ht="70.75" x14ac:dyDescent="0.35">
      <c r="B324" s="170"/>
      <c r="C324" s="13" t="s">
        <v>95</v>
      </c>
      <c r="D324" s="13" t="s">
        <v>96</v>
      </c>
      <c r="E324" s="13" t="s">
        <v>97</v>
      </c>
      <c r="F324" s="13" t="s">
        <v>98</v>
      </c>
      <c r="G324" s="14" t="s">
        <v>687</v>
      </c>
      <c r="H324" s="14" t="s">
        <v>688</v>
      </c>
      <c r="I324" s="14" t="s">
        <v>689</v>
      </c>
      <c r="J324" s="14" t="s">
        <v>690</v>
      </c>
      <c r="K324" s="13" t="s">
        <v>102</v>
      </c>
      <c r="L324" s="16" t="s">
        <v>103</v>
      </c>
    </row>
    <row r="325" spans="2:12" ht="56.6" x14ac:dyDescent="0.35">
      <c r="B325" s="170"/>
      <c r="C325" s="13" t="s">
        <v>104</v>
      </c>
      <c r="D325" s="13" t="s">
        <v>105</v>
      </c>
      <c r="E325" s="13" t="s">
        <v>79</v>
      </c>
      <c r="F325" s="13" t="s">
        <v>106</v>
      </c>
      <c r="G325" s="14" t="s">
        <v>218</v>
      </c>
      <c r="H325" s="14">
        <v>3</v>
      </c>
      <c r="I325" s="14" t="s">
        <v>691</v>
      </c>
      <c r="J325" s="14" t="s">
        <v>692</v>
      </c>
      <c r="K325" s="13" t="s">
        <v>1737</v>
      </c>
      <c r="L325" s="16" t="s">
        <v>110</v>
      </c>
    </row>
    <row r="326" spans="2:12" ht="84.9" x14ac:dyDescent="0.35">
      <c r="B326" s="170"/>
      <c r="C326" s="13" t="s">
        <v>111</v>
      </c>
      <c r="D326" s="13" t="s">
        <v>112</v>
      </c>
      <c r="E326" s="13" t="s">
        <v>79</v>
      </c>
      <c r="F326" s="13" t="s">
        <v>113</v>
      </c>
      <c r="G326" s="14" t="s">
        <v>114</v>
      </c>
      <c r="H326" s="14">
        <v>3</v>
      </c>
      <c r="I326" s="14" t="s">
        <v>693</v>
      </c>
      <c r="J326" s="14" t="s">
        <v>694</v>
      </c>
      <c r="K326" s="13" t="s">
        <v>117</v>
      </c>
      <c r="L326" s="16" t="s">
        <v>118</v>
      </c>
    </row>
    <row r="327" spans="2:12" ht="141.9" thickBot="1" x14ac:dyDescent="0.4">
      <c r="B327" s="171"/>
      <c r="C327" s="17" t="s">
        <v>119</v>
      </c>
      <c r="D327" s="17" t="s">
        <v>120</v>
      </c>
      <c r="E327" s="17" t="s">
        <v>97</v>
      </c>
      <c r="F327" s="17" t="s">
        <v>121</v>
      </c>
      <c r="G327" s="18" t="s">
        <v>221</v>
      </c>
      <c r="H327" s="18" t="s">
        <v>173</v>
      </c>
      <c r="I327" s="18" t="s">
        <v>695</v>
      </c>
      <c r="J327" s="18" t="s">
        <v>696</v>
      </c>
      <c r="K327" s="17" t="s">
        <v>126</v>
      </c>
      <c r="L327" s="19" t="s">
        <v>127</v>
      </c>
    </row>
    <row r="328" spans="2:12" ht="14.6" thickBot="1" x14ac:dyDescent="0.4"/>
    <row r="329" spans="2:12" ht="70.75" x14ac:dyDescent="0.35">
      <c r="B329" s="169" t="s">
        <v>1814</v>
      </c>
      <c r="C329" s="8" t="s">
        <v>65</v>
      </c>
      <c r="D329" s="8" t="s">
        <v>66</v>
      </c>
      <c r="E329" s="8" t="s">
        <v>67</v>
      </c>
      <c r="F329" s="8" t="s">
        <v>68</v>
      </c>
      <c r="G329" s="9" t="s">
        <v>697</v>
      </c>
      <c r="H329" s="10">
        <v>653</v>
      </c>
      <c r="I329" s="9" t="s">
        <v>698</v>
      </c>
      <c r="J329" s="9" t="s">
        <v>699</v>
      </c>
      <c r="K329" s="8" t="s">
        <v>1735</v>
      </c>
      <c r="L329" s="11" t="s">
        <v>72</v>
      </c>
    </row>
    <row r="330" spans="2:12" ht="56.6" x14ac:dyDescent="0.35">
      <c r="B330" s="170"/>
      <c r="C330" s="13" t="s">
        <v>73</v>
      </c>
      <c r="D330" s="13" t="s">
        <v>74</v>
      </c>
      <c r="E330" s="13" t="s">
        <v>67</v>
      </c>
      <c r="F330" s="13" t="s">
        <v>68</v>
      </c>
      <c r="G330" s="14" t="s">
        <v>700</v>
      </c>
      <c r="H330" s="15">
        <v>310.56</v>
      </c>
      <c r="I330" s="14" t="s">
        <v>701</v>
      </c>
      <c r="J330" s="14" t="s">
        <v>702</v>
      </c>
      <c r="K330" s="13" t="s">
        <v>1736</v>
      </c>
      <c r="L330" s="16" t="s">
        <v>72</v>
      </c>
    </row>
    <row r="331" spans="2:12" ht="99" x14ac:dyDescent="0.35">
      <c r="B331" s="170"/>
      <c r="C331" s="13" t="s">
        <v>77</v>
      </c>
      <c r="D331" s="13" t="s">
        <v>78</v>
      </c>
      <c r="E331" s="13" t="s">
        <v>79</v>
      </c>
      <c r="F331" s="13" t="s">
        <v>80</v>
      </c>
      <c r="G331" s="14" t="s">
        <v>81</v>
      </c>
      <c r="H331" s="14">
        <v>2</v>
      </c>
      <c r="I331" s="14" t="s">
        <v>703</v>
      </c>
      <c r="J331" s="14" t="s">
        <v>704</v>
      </c>
      <c r="K331" s="13" t="s">
        <v>84</v>
      </c>
      <c r="L331" s="16" t="s">
        <v>85</v>
      </c>
    </row>
    <row r="332" spans="2:12" ht="84.9" x14ac:dyDescent="0.35">
      <c r="B332" s="170"/>
      <c r="C332" s="13" t="s">
        <v>86</v>
      </c>
      <c r="D332" s="13" t="s">
        <v>87</v>
      </c>
      <c r="E332" s="13" t="s">
        <v>88</v>
      </c>
      <c r="F332" s="13" t="s">
        <v>89</v>
      </c>
      <c r="G332" s="14" t="s">
        <v>463</v>
      </c>
      <c r="H332" s="14">
        <v>0</v>
      </c>
      <c r="I332" s="14" t="s">
        <v>705</v>
      </c>
      <c r="J332" s="14" t="s">
        <v>706</v>
      </c>
      <c r="K332" s="13" t="s">
        <v>93</v>
      </c>
      <c r="L332" s="16" t="s">
        <v>94</v>
      </c>
    </row>
    <row r="333" spans="2:12" ht="70.75" x14ac:dyDescent="0.35">
      <c r="B333" s="170"/>
      <c r="C333" s="13" t="s">
        <v>95</v>
      </c>
      <c r="D333" s="13" t="s">
        <v>96</v>
      </c>
      <c r="E333" s="13" t="s">
        <v>97</v>
      </c>
      <c r="F333" s="13" t="s">
        <v>98</v>
      </c>
      <c r="G333" s="14" t="s">
        <v>668</v>
      </c>
      <c r="H333" s="14" t="s">
        <v>669</v>
      </c>
      <c r="I333" s="14" t="s">
        <v>707</v>
      </c>
      <c r="J333" s="14" t="s">
        <v>708</v>
      </c>
      <c r="K333" s="13" t="s">
        <v>102</v>
      </c>
      <c r="L333" s="16" t="s">
        <v>103</v>
      </c>
    </row>
    <row r="334" spans="2:12" ht="42.45" x14ac:dyDescent="0.35">
      <c r="B334" s="170"/>
      <c r="C334" s="13" t="s">
        <v>104</v>
      </c>
      <c r="D334" s="13" t="s">
        <v>105</v>
      </c>
      <c r="E334" s="13" t="s">
        <v>79</v>
      </c>
      <c r="F334" s="13" t="s">
        <v>106</v>
      </c>
      <c r="G334" s="14" t="s">
        <v>218</v>
      </c>
      <c r="H334" s="14">
        <v>3</v>
      </c>
      <c r="I334" s="14" t="s">
        <v>709</v>
      </c>
      <c r="J334" s="14" t="s">
        <v>710</v>
      </c>
      <c r="K334" s="13" t="s">
        <v>1737</v>
      </c>
      <c r="L334" s="16" t="s">
        <v>110</v>
      </c>
    </row>
    <row r="335" spans="2:12" ht="95.15" customHeight="1" x14ac:dyDescent="0.35">
      <c r="B335" s="170"/>
      <c r="C335" s="13" t="s">
        <v>111</v>
      </c>
      <c r="D335" s="13" t="s">
        <v>112</v>
      </c>
      <c r="E335" s="13" t="s">
        <v>79</v>
      </c>
      <c r="F335" s="13" t="s">
        <v>113</v>
      </c>
      <c r="G335" s="14" t="s">
        <v>189</v>
      </c>
      <c r="H335" s="14">
        <v>2</v>
      </c>
      <c r="I335" s="14" t="s">
        <v>711</v>
      </c>
      <c r="J335" s="14" t="s">
        <v>712</v>
      </c>
      <c r="K335" s="13" t="s">
        <v>117</v>
      </c>
      <c r="L335" s="16" t="s">
        <v>118</v>
      </c>
    </row>
    <row r="336" spans="2:12" ht="71.150000000000006" thickBot="1" x14ac:dyDescent="0.4">
      <c r="B336" s="171"/>
      <c r="C336" s="17" t="s">
        <v>119</v>
      </c>
      <c r="D336" s="17" t="s">
        <v>120</v>
      </c>
      <c r="E336" s="17" t="s">
        <v>97</v>
      </c>
      <c r="F336" s="17" t="s">
        <v>121</v>
      </c>
      <c r="G336" s="18" t="s">
        <v>248</v>
      </c>
      <c r="H336" s="18" t="s">
        <v>123</v>
      </c>
      <c r="I336" s="18" t="s">
        <v>713</v>
      </c>
      <c r="J336" s="18" t="s">
        <v>125</v>
      </c>
      <c r="K336" s="17" t="s">
        <v>126</v>
      </c>
      <c r="L336" s="19" t="s">
        <v>127</v>
      </c>
    </row>
    <row r="337" spans="2:12" ht="14.6" thickBot="1" x14ac:dyDescent="0.4"/>
    <row r="338" spans="2:12" ht="70.75" x14ac:dyDescent="0.35">
      <c r="B338" s="173" t="s">
        <v>1872</v>
      </c>
      <c r="C338" s="8" t="s">
        <v>65</v>
      </c>
      <c r="D338" s="8" t="s">
        <v>66</v>
      </c>
      <c r="E338" s="8" t="s">
        <v>67</v>
      </c>
      <c r="F338" s="8" t="s">
        <v>68</v>
      </c>
      <c r="G338" s="9" t="s">
        <v>714</v>
      </c>
      <c r="H338" s="10">
        <v>630</v>
      </c>
      <c r="I338" s="9" t="s">
        <v>715</v>
      </c>
      <c r="J338" s="9" t="s">
        <v>716</v>
      </c>
      <c r="K338" s="8" t="s">
        <v>1735</v>
      </c>
      <c r="L338" s="11" t="s">
        <v>72</v>
      </c>
    </row>
    <row r="339" spans="2:12" ht="56.6" x14ac:dyDescent="0.35">
      <c r="B339" s="170"/>
      <c r="C339" s="13" t="s">
        <v>73</v>
      </c>
      <c r="D339" s="13" t="s">
        <v>74</v>
      </c>
      <c r="E339" s="13" t="s">
        <v>67</v>
      </c>
      <c r="F339" s="13" t="s">
        <v>68</v>
      </c>
      <c r="G339" s="14" t="s">
        <v>717</v>
      </c>
      <c r="H339" s="15">
        <v>327.9</v>
      </c>
      <c r="I339" s="14" t="s">
        <v>718</v>
      </c>
      <c r="J339" s="14" t="s">
        <v>702</v>
      </c>
      <c r="K339" s="13" t="s">
        <v>1736</v>
      </c>
      <c r="L339" s="16" t="s">
        <v>72</v>
      </c>
    </row>
    <row r="340" spans="2:12" ht="99" x14ac:dyDescent="0.35">
      <c r="B340" s="170"/>
      <c r="C340" s="13" t="s">
        <v>77</v>
      </c>
      <c r="D340" s="13" t="s">
        <v>78</v>
      </c>
      <c r="E340" s="13" t="s">
        <v>79</v>
      </c>
      <c r="F340" s="13" t="s">
        <v>80</v>
      </c>
      <c r="G340" s="14" t="s">
        <v>81</v>
      </c>
      <c r="H340" s="14">
        <v>2</v>
      </c>
      <c r="I340" s="14" t="s">
        <v>719</v>
      </c>
      <c r="J340" s="14" t="s">
        <v>720</v>
      </c>
      <c r="K340" s="13" t="s">
        <v>84</v>
      </c>
      <c r="L340" s="16" t="s">
        <v>85</v>
      </c>
    </row>
    <row r="341" spans="2:12" ht="84.9" x14ac:dyDescent="0.35">
      <c r="B341" s="170"/>
      <c r="C341" s="13" t="s">
        <v>86</v>
      </c>
      <c r="D341" s="13" t="s">
        <v>87</v>
      </c>
      <c r="E341" s="13" t="s">
        <v>88</v>
      </c>
      <c r="F341" s="13" t="s">
        <v>89</v>
      </c>
      <c r="G341" s="14" t="s">
        <v>463</v>
      </c>
      <c r="H341" s="14">
        <v>0</v>
      </c>
      <c r="I341" s="14" t="s">
        <v>721</v>
      </c>
      <c r="J341" s="14" t="s">
        <v>495</v>
      </c>
      <c r="K341" s="13" t="s">
        <v>93</v>
      </c>
      <c r="L341" s="16" t="s">
        <v>94</v>
      </c>
    </row>
    <row r="342" spans="2:12" ht="70.75" x14ac:dyDescent="0.35">
      <c r="B342" s="170"/>
      <c r="C342" s="13" t="s">
        <v>95</v>
      </c>
      <c r="D342" s="13" t="s">
        <v>96</v>
      </c>
      <c r="E342" s="13" t="s">
        <v>97</v>
      </c>
      <c r="F342" s="13" t="s">
        <v>98</v>
      </c>
      <c r="G342" s="14" t="s">
        <v>668</v>
      </c>
      <c r="H342" s="14" t="s">
        <v>669</v>
      </c>
      <c r="I342" s="14" t="s">
        <v>722</v>
      </c>
      <c r="J342" s="14" t="s">
        <v>723</v>
      </c>
      <c r="K342" s="13" t="s">
        <v>102</v>
      </c>
      <c r="L342" s="16" t="s">
        <v>103</v>
      </c>
    </row>
    <row r="343" spans="2:12" ht="42.45" x14ac:dyDescent="0.35">
      <c r="B343" s="170"/>
      <c r="C343" s="13" t="s">
        <v>104</v>
      </c>
      <c r="D343" s="13" t="s">
        <v>105</v>
      </c>
      <c r="E343" s="13" t="s">
        <v>79</v>
      </c>
      <c r="F343" s="13" t="s">
        <v>106</v>
      </c>
      <c r="G343" s="14" t="s">
        <v>218</v>
      </c>
      <c r="H343" s="14">
        <v>3</v>
      </c>
      <c r="I343" s="14" t="s">
        <v>724</v>
      </c>
      <c r="J343" s="14" t="s">
        <v>725</v>
      </c>
      <c r="K343" s="13" t="s">
        <v>1737</v>
      </c>
      <c r="L343" s="16" t="s">
        <v>110</v>
      </c>
    </row>
    <row r="344" spans="2:12" ht="99" x14ac:dyDescent="0.35">
      <c r="B344" s="170"/>
      <c r="C344" s="13" t="s">
        <v>111</v>
      </c>
      <c r="D344" s="13" t="s">
        <v>112</v>
      </c>
      <c r="E344" s="13" t="s">
        <v>79</v>
      </c>
      <c r="F344" s="13" t="s">
        <v>113</v>
      </c>
      <c r="G344" s="14" t="s">
        <v>189</v>
      </c>
      <c r="H344" s="14">
        <v>2</v>
      </c>
      <c r="I344" s="14" t="s">
        <v>1854</v>
      </c>
      <c r="J344" s="14" t="s">
        <v>1853</v>
      </c>
      <c r="K344" s="13" t="s">
        <v>117</v>
      </c>
      <c r="L344" s="16" t="s">
        <v>118</v>
      </c>
    </row>
    <row r="345" spans="2:12" ht="71.150000000000006" thickBot="1" x14ac:dyDescent="0.4">
      <c r="B345" s="171"/>
      <c r="C345" s="17" t="s">
        <v>119</v>
      </c>
      <c r="D345" s="17" t="s">
        <v>120</v>
      </c>
      <c r="E345" s="17" t="s">
        <v>97</v>
      </c>
      <c r="F345" s="17" t="s">
        <v>121</v>
      </c>
      <c r="G345" s="18" t="s">
        <v>248</v>
      </c>
      <c r="H345" s="18" t="s">
        <v>123</v>
      </c>
      <c r="I345" s="18" t="s">
        <v>726</v>
      </c>
      <c r="J345" s="18" t="s">
        <v>125</v>
      </c>
      <c r="K345" s="17" t="s">
        <v>126</v>
      </c>
      <c r="L345" s="19" t="s">
        <v>127</v>
      </c>
    </row>
    <row r="346" spans="2:12" ht="14.6" thickBot="1" x14ac:dyDescent="0.4"/>
    <row r="347" spans="2:12" ht="70.75" x14ac:dyDescent="0.35">
      <c r="B347" s="169" t="s">
        <v>1815</v>
      </c>
      <c r="C347" s="8" t="s">
        <v>65</v>
      </c>
      <c r="D347" s="8" t="s">
        <v>66</v>
      </c>
      <c r="E347" s="8" t="s">
        <v>67</v>
      </c>
      <c r="F347" s="8" t="s">
        <v>68</v>
      </c>
      <c r="G347" s="9" t="s">
        <v>727</v>
      </c>
      <c r="H347" s="9">
        <v>451.43</v>
      </c>
      <c r="I347" s="9" t="s">
        <v>728</v>
      </c>
      <c r="J347" s="9" t="s">
        <v>729</v>
      </c>
      <c r="K347" s="8" t="s">
        <v>1735</v>
      </c>
      <c r="L347" s="11" t="s">
        <v>72</v>
      </c>
    </row>
    <row r="348" spans="2:12" ht="56.6" x14ac:dyDescent="0.35">
      <c r="B348" s="170"/>
      <c r="C348" s="13" t="s">
        <v>73</v>
      </c>
      <c r="D348" s="13" t="s">
        <v>74</v>
      </c>
      <c r="E348" s="13" t="s">
        <v>67</v>
      </c>
      <c r="F348" s="13" t="s">
        <v>68</v>
      </c>
      <c r="G348" s="14" t="s">
        <v>730</v>
      </c>
      <c r="H348" s="14">
        <v>270</v>
      </c>
      <c r="I348" s="14" t="s">
        <v>731</v>
      </c>
      <c r="J348" s="14" t="s">
        <v>732</v>
      </c>
      <c r="K348" s="13" t="s">
        <v>1736</v>
      </c>
      <c r="L348" s="16" t="s">
        <v>72</v>
      </c>
    </row>
    <row r="349" spans="2:12" ht="113.15" x14ac:dyDescent="0.35">
      <c r="B349" s="170"/>
      <c r="C349" s="13" t="s">
        <v>77</v>
      </c>
      <c r="D349" s="13" t="s">
        <v>78</v>
      </c>
      <c r="E349" s="13" t="s">
        <v>79</v>
      </c>
      <c r="F349" s="13" t="s">
        <v>80</v>
      </c>
      <c r="G349" s="14" t="s">
        <v>81</v>
      </c>
      <c r="H349" s="14">
        <v>2</v>
      </c>
      <c r="I349" s="14" t="s">
        <v>733</v>
      </c>
      <c r="J349" s="14" t="s">
        <v>734</v>
      </c>
      <c r="K349" s="13" t="s">
        <v>84</v>
      </c>
      <c r="L349" s="16" t="s">
        <v>85</v>
      </c>
    </row>
    <row r="350" spans="2:12" ht="84.9" x14ac:dyDescent="0.35">
      <c r="B350" s="170"/>
      <c r="C350" s="13" t="s">
        <v>86</v>
      </c>
      <c r="D350" s="13" t="s">
        <v>87</v>
      </c>
      <c r="E350" s="13" t="s">
        <v>88</v>
      </c>
      <c r="F350" s="13" t="s">
        <v>89</v>
      </c>
      <c r="G350" s="14" t="s">
        <v>463</v>
      </c>
      <c r="H350" s="14">
        <v>0</v>
      </c>
      <c r="I350" s="14" t="s">
        <v>735</v>
      </c>
      <c r="J350" s="14" t="s">
        <v>736</v>
      </c>
      <c r="K350" s="13" t="s">
        <v>93</v>
      </c>
      <c r="L350" s="16" t="s">
        <v>94</v>
      </c>
    </row>
    <row r="351" spans="2:12" ht="70.75" x14ac:dyDescent="0.35">
      <c r="B351" s="170"/>
      <c r="C351" s="13" t="s">
        <v>95</v>
      </c>
      <c r="D351" s="13" t="s">
        <v>96</v>
      </c>
      <c r="E351" s="13" t="s">
        <v>97</v>
      </c>
      <c r="F351" s="13" t="s">
        <v>98</v>
      </c>
      <c r="G351" s="14" t="s">
        <v>512</v>
      </c>
      <c r="H351" s="14" t="s">
        <v>513</v>
      </c>
      <c r="I351" s="14" t="s">
        <v>737</v>
      </c>
      <c r="J351" s="14" t="s">
        <v>738</v>
      </c>
      <c r="K351" s="13" t="s">
        <v>102</v>
      </c>
      <c r="L351" s="16" t="s">
        <v>103</v>
      </c>
    </row>
    <row r="352" spans="2:12" ht="42.45" x14ac:dyDescent="0.35">
      <c r="B352" s="170"/>
      <c r="C352" s="13" t="s">
        <v>104</v>
      </c>
      <c r="D352" s="13" t="s">
        <v>105</v>
      </c>
      <c r="E352" s="13" t="s">
        <v>79</v>
      </c>
      <c r="F352" s="13" t="s">
        <v>106</v>
      </c>
      <c r="G352" s="14" t="s">
        <v>218</v>
      </c>
      <c r="H352" s="14">
        <v>3</v>
      </c>
      <c r="I352" s="14" t="s">
        <v>739</v>
      </c>
      <c r="J352" s="14" t="s">
        <v>740</v>
      </c>
      <c r="K352" s="13" t="s">
        <v>1737</v>
      </c>
      <c r="L352" s="16" t="s">
        <v>110</v>
      </c>
    </row>
    <row r="353" spans="2:12" ht="70.75" x14ac:dyDescent="0.35">
      <c r="B353" s="170"/>
      <c r="C353" s="13" t="s">
        <v>111</v>
      </c>
      <c r="D353" s="13" t="s">
        <v>112</v>
      </c>
      <c r="E353" s="13" t="s">
        <v>79</v>
      </c>
      <c r="F353" s="13" t="s">
        <v>113</v>
      </c>
      <c r="G353" s="14" t="s">
        <v>189</v>
      </c>
      <c r="H353" s="14">
        <v>2</v>
      </c>
      <c r="I353" s="14" t="s">
        <v>741</v>
      </c>
      <c r="J353" s="14" t="s">
        <v>736</v>
      </c>
      <c r="K353" s="13" t="s">
        <v>117</v>
      </c>
      <c r="L353" s="16" t="s">
        <v>118</v>
      </c>
    </row>
    <row r="354" spans="2:12" ht="113.6" thickBot="1" x14ac:dyDescent="0.4">
      <c r="B354" s="171"/>
      <c r="C354" s="17" t="s">
        <v>119</v>
      </c>
      <c r="D354" s="17" t="s">
        <v>120</v>
      </c>
      <c r="E354" s="17" t="s">
        <v>97</v>
      </c>
      <c r="F354" s="17" t="s">
        <v>121</v>
      </c>
      <c r="G354" s="18" t="s">
        <v>248</v>
      </c>
      <c r="H354" s="18" t="s">
        <v>123</v>
      </c>
      <c r="I354" s="18" t="s">
        <v>742</v>
      </c>
      <c r="J354" s="18" t="s">
        <v>743</v>
      </c>
      <c r="K354" s="17" t="s">
        <v>126</v>
      </c>
      <c r="L354" s="19" t="s">
        <v>127</v>
      </c>
    </row>
    <row r="355" spans="2:12" ht="14.6" thickBot="1" x14ac:dyDescent="0.4"/>
    <row r="356" spans="2:12" ht="70.75" x14ac:dyDescent="0.35">
      <c r="B356" s="169" t="s">
        <v>1816</v>
      </c>
      <c r="C356" s="8" t="s">
        <v>65</v>
      </c>
      <c r="D356" s="8" t="s">
        <v>66</v>
      </c>
      <c r="E356" s="8" t="s">
        <v>67</v>
      </c>
      <c r="F356" s="8" t="s">
        <v>68</v>
      </c>
      <c r="G356" s="9" t="s">
        <v>744</v>
      </c>
      <c r="H356" s="9">
        <v>444.31</v>
      </c>
      <c r="I356" s="9" t="s">
        <v>745</v>
      </c>
      <c r="J356" s="9" t="s">
        <v>746</v>
      </c>
      <c r="K356" s="8" t="s">
        <v>1735</v>
      </c>
      <c r="L356" s="11" t="s">
        <v>72</v>
      </c>
    </row>
    <row r="357" spans="2:12" ht="56.6" x14ac:dyDescent="0.35">
      <c r="B357" s="170"/>
      <c r="C357" s="13" t="s">
        <v>73</v>
      </c>
      <c r="D357" s="13" t="s">
        <v>74</v>
      </c>
      <c r="E357" s="13" t="s">
        <v>67</v>
      </c>
      <c r="F357" s="13" t="s">
        <v>68</v>
      </c>
      <c r="G357" s="14" t="s">
        <v>747</v>
      </c>
      <c r="H357" s="14">
        <v>277.36</v>
      </c>
      <c r="I357" s="14" t="s">
        <v>748</v>
      </c>
      <c r="J357" s="14" t="s">
        <v>749</v>
      </c>
      <c r="K357" s="13" t="s">
        <v>1736</v>
      </c>
      <c r="L357" s="16" t="s">
        <v>72</v>
      </c>
    </row>
    <row r="358" spans="2:12" ht="99" x14ac:dyDescent="0.35">
      <c r="B358" s="170"/>
      <c r="C358" s="13" t="s">
        <v>77</v>
      </c>
      <c r="D358" s="13" t="s">
        <v>78</v>
      </c>
      <c r="E358" s="13" t="s">
        <v>79</v>
      </c>
      <c r="F358" s="13" t="s">
        <v>80</v>
      </c>
      <c r="G358" s="14" t="s">
        <v>81</v>
      </c>
      <c r="H358" s="14">
        <v>2</v>
      </c>
      <c r="I358" s="14" t="s">
        <v>750</v>
      </c>
      <c r="J358" s="14" t="s">
        <v>751</v>
      </c>
      <c r="K358" s="13" t="s">
        <v>84</v>
      </c>
      <c r="L358" s="16" t="s">
        <v>85</v>
      </c>
    </row>
    <row r="359" spans="2:12" ht="84.9" x14ac:dyDescent="0.35">
      <c r="B359" s="170"/>
      <c r="C359" s="13" t="s">
        <v>86</v>
      </c>
      <c r="D359" s="13" t="s">
        <v>87</v>
      </c>
      <c r="E359" s="13" t="s">
        <v>88</v>
      </c>
      <c r="F359" s="13" t="s">
        <v>89</v>
      </c>
      <c r="G359" s="14" t="s">
        <v>463</v>
      </c>
      <c r="H359" s="14">
        <v>0</v>
      </c>
      <c r="I359" s="14" t="s">
        <v>752</v>
      </c>
      <c r="J359" s="14" t="s">
        <v>753</v>
      </c>
      <c r="K359" s="13" t="s">
        <v>93</v>
      </c>
      <c r="L359" s="16" t="s">
        <v>94</v>
      </c>
    </row>
    <row r="360" spans="2:12" ht="70.75" x14ac:dyDescent="0.35">
      <c r="B360" s="170"/>
      <c r="C360" s="13" t="s">
        <v>95</v>
      </c>
      <c r="D360" s="13" t="s">
        <v>96</v>
      </c>
      <c r="E360" s="13" t="s">
        <v>97</v>
      </c>
      <c r="F360" s="13" t="s">
        <v>98</v>
      </c>
      <c r="G360" s="14" t="s">
        <v>687</v>
      </c>
      <c r="H360" s="14" t="s">
        <v>688</v>
      </c>
      <c r="I360" s="14" t="s">
        <v>754</v>
      </c>
      <c r="J360" s="14" t="s">
        <v>755</v>
      </c>
      <c r="K360" s="13" t="s">
        <v>102</v>
      </c>
      <c r="L360" s="16" t="s">
        <v>103</v>
      </c>
    </row>
    <row r="361" spans="2:12" ht="42.45" x14ac:dyDescent="0.35">
      <c r="B361" s="170"/>
      <c r="C361" s="13" t="s">
        <v>104</v>
      </c>
      <c r="D361" s="13" t="s">
        <v>105</v>
      </c>
      <c r="E361" s="13" t="s">
        <v>79</v>
      </c>
      <c r="F361" s="13" t="s">
        <v>106</v>
      </c>
      <c r="G361" s="14" t="s">
        <v>218</v>
      </c>
      <c r="H361" s="14">
        <v>3</v>
      </c>
      <c r="I361" s="14" t="s">
        <v>756</v>
      </c>
      <c r="J361" s="14" t="s">
        <v>757</v>
      </c>
      <c r="K361" s="13" t="s">
        <v>1737</v>
      </c>
      <c r="L361" s="16" t="s">
        <v>110</v>
      </c>
    </row>
    <row r="362" spans="2:12" ht="113.15" x14ac:dyDescent="0.35">
      <c r="B362" s="170"/>
      <c r="C362" s="13" t="s">
        <v>111</v>
      </c>
      <c r="D362" s="13" t="s">
        <v>112</v>
      </c>
      <c r="E362" s="13" t="s">
        <v>79</v>
      </c>
      <c r="F362" s="13" t="s">
        <v>113</v>
      </c>
      <c r="G362" s="14" t="s">
        <v>579</v>
      </c>
      <c r="H362" s="14">
        <v>1</v>
      </c>
      <c r="I362" s="14" t="s">
        <v>758</v>
      </c>
      <c r="J362" s="14" t="s">
        <v>759</v>
      </c>
      <c r="K362" s="13" t="s">
        <v>117</v>
      </c>
      <c r="L362" s="16" t="s">
        <v>118</v>
      </c>
    </row>
    <row r="363" spans="2:12" ht="127.75" thickBot="1" x14ac:dyDescent="0.4">
      <c r="B363" s="171"/>
      <c r="C363" s="17" t="s">
        <v>119</v>
      </c>
      <c r="D363" s="17" t="s">
        <v>120</v>
      </c>
      <c r="E363" s="17" t="s">
        <v>97</v>
      </c>
      <c r="F363" s="17" t="s">
        <v>121</v>
      </c>
      <c r="G363" s="18" t="s">
        <v>248</v>
      </c>
      <c r="H363" s="18" t="s">
        <v>123</v>
      </c>
      <c r="I363" s="18" t="s">
        <v>760</v>
      </c>
      <c r="J363" s="18" t="s">
        <v>761</v>
      </c>
      <c r="K363" s="17" t="s">
        <v>126</v>
      </c>
      <c r="L363" s="19" t="s">
        <v>127</v>
      </c>
    </row>
    <row r="364" spans="2:12" ht="14.6" thickBot="1" x14ac:dyDescent="0.4"/>
    <row r="365" spans="2:12" ht="70.75" x14ac:dyDescent="0.35">
      <c r="B365" s="169" t="s">
        <v>1817</v>
      </c>
      <c r="C365" s="8" t="s">
        <v>65</v>
      </c>
      <c r="D365" s="8" t="s">
        <v>66</v>
      </c>
      <c r="E365" s="8" t="s">
        <v>67</v>
      </c>
      <c r="F365" s="8" t="s">
        <v>68</v>
      </c>
      <c r="G365" s="9" t="s">
        <v>762</v>
      </c>
      <c r="H365" s="9">
        <v>614.55999999999995</v>
      </c>
      <c r="I365" s="9" t="s">
        <v>763</v>
      </c>
      <c r="J365" s="9"/>
      <c r="K365" s="8" t="s">
        <v>1735</v>
      </c>
      <c r="L365" s="11" t="s">
        <v>72</v>
      </c>
    </row>
    <row r="366" spans="2:12" ht="56.6" x14ac:dyDescent="0.35">
      <c r="B366" s="170"/>
      <c r="C366" s="13" t="s">
        <v>73</v>
      </c>
      <c r="D366" s="13" t="s">
        <v>74</v>
      </c>
      <c r="E366" s="13" t="s">
        <v>67</v>
      </c>
      <c r="F366" s="13" t="s">
        <v>68</v>
      </c>
      <c r="G366" s="14" t="s">
        <v>764</v>
      </c>
      <c r="H366" s="14">
        <v>343.44</v>
      </c>
      <c r="I366" s="14" t="s">
        <v>765</v>
      </c>
      <c r="J366" s="14"/>
      <c r="K366" s="13" t="s">
        <v>1736</v>
      </c>
      <c r="L366" s="16" t="s">
        <v>72</v>
      </c>
    </row>
    <row r="367" spans="2:12" ht="99" x14ac:dyDescent="0.35">
      <c r="B367" s="170"/>
      <c r="C367" s="13" t="s">
        <v>77</v>
      </c>
      <c r="D367" s="13" t="s">
        <v>78</v>
      </c>
      <c r="E367" s="13" t="s">
        <v>79</v>
      </c>
      <c r="F367" s="13" t="s">
        <v>80</v>
      </c>
      <c r="G367" s="14" t="s">
        <v>81</v>
      </c>
      <c r="H367" s="14">
        <v>2</v>
      </c>
      <c r="I367" s="14" t="s">
        <v>766</v>
      </c>
      <c r="J367" s="14" t="s">
        <v>767</v>
      </c>
      <c r="K367" s="13" t="s">
        <v>84</v>
      </c>
      <c r="L367" s="16" t="s">
        <v>85</v>
      </c>
    </row>
    <row r="368" spans="2:12" ht="84.9" x14ac:dyDescent="0.35">
      <c r="B368" s="170"/>
      <c r="C368" s="13" t="s">
        <v>86</v>
      </c>
      <c r="D368" s="13" t="s">
        <v>87</v>
      </c>
      <c r="E368" s="13" t="s">
        <v>88</v>
      </c>
      <c r="F368" s="13" t="s">
        <v>89</v>
      </c>
      <c r="G368" s="14" t="s">
        <v>463</v>
      </c>
      <c r="H368" s="14">
        <v>0</v>
      </c>
      <c r="I368" s="14" t="s">
        <v>768</v>
      </c>
      <c r="J368" s="14" t="s">
        <v>769</v>
      </c>
      <c r="K368" s="13" t="s">
        <v>93</v>
      </c>
      <c r="L368" s="16" t="s">
        <v>94</v>
      </c>
    </row>
    <row r="369" spans="2:12" ht="70.75" x14ac:dyDescent="0.35">
      <c r="B369" s="170"/>
      <c r="C369" s="13" t="s">
        <v>95</v>
      </c>
      <c r="D369" s="13" t="s">
        <v>96</v>
      </c>
      <c r="E369" s="13" t="s">
        <v>97</v>
      </c>
      <c r="F369" s="13" t="s">
        <v>98</v>
      </c>
      <c r="G369" s="14" t="s">
        <v>687</v>
      </c>
      <c r="H369" s="14" t="s">
        <v>688</v>
      </c>
      <c r="I369" s="14" t="s">
        <v>770</v>
      </c>
      <c r="J369" s="14" t="s">
        <v>771</v>
      </c>
      <c r="K369" s="13" t="s">
        <v>102</v>
      </c>
      <c r="L369" s="16" t="s">
        <v>103</v>
      </c>
    </row>
    <row r="370" spans="2:12" ht="42.45" x14ac:dyDescent="0.35">
      <c r="B370" s="170"/>
      <c r="C370" s="13" t="s">
        <v>104</v>
      </c>
      <c r="D370" s="13" t="s">
        <v>105</v>
      </c>
      <c r="E370" s="13" t="s">
        <v>79</v>
      </c>
      <c r="F370" s="13" t="s">
        <v>106</v>
      </c>
      <c r="G370" s="14" t="s">
        <v>218</v>
      </c>
      <c r="H370" s="14">
        <v>3</v>
      </c>
      <c r="I370" s="14" t="s">
        <v>772</v>
      </c>
      <c r="J370" s="14" t="s">
        <v>773</v>
      </c>
      <c r="K370" s="13" t="s">
        <v>1737</v>
      </c>
      <c r="L370" s="16" t="s">
        <v>110</v>
      </c>
    </row>
    <row r="371" spans="2:12" ht="113.15" x14ac:dyDescent="0.35">
      <c r="B371" s="170"/>
      <c r="C371" s="13" t="s">
        <v>111</v>
      </c>
      <c r="D371" s="13" t="s">
        <v>112</v>
      </c>
      <c r="E371" s="13" t="s">
        <v>79</v>
      </c>
      <c r="F371" s="13" t="s">
        <v>113</v>
      </c>
      <c r="G371" s="14" t="s">
        <v>579</v>
      </c>
      <c r="H371" s="14">
        <v>1</v>
      </c>
      <c r="I371" s="14" t="s">
        <v>1855</v>
      </c>
      <c r="J371" s="14" t="s">
        <v>116</v>
      </c>
      <c r="K371" s="13" t="s">
        <v>117</v>
      </c>
      <c r="L371" s="16" t="s">
        <v>118</v>
      </c>
    </row>
    <row r="372" spans="2:12" ht="71.150000000000006" thickBot="1" x14ac:dyDescent="0.4">
      <c r="B372" s="171"/>
      <c r="C372" s="17" t="s">
        <v>119</v>
      </c>
      <c r="D372" s="17" t="s">
        <v>120</v>
      </c>
      <c r="E372" s="17" t="s">
        <v>97</v>
      </c>
      <c r="F372" s="17" t="s">
        <v>121</v>
      </c>
      <c r="G372" s="18" t="s">
        <v>172</v>
      </c>
      <c r="H372" s="18" t="s">
        <v>173</v>
      </c>
      <c r="I372" s="18" t="s">
        <v>774</v>
      </c>
      <c r="J372" s="18" t="s">
        <v>125</v>
      </c>
      <c r="K372" s="17" t="s">
        <v>126</v>
      </c>
      <c r="L372" s="19" t="s">
        <v>127</v>
      </c>
    </row>
    <row r="374" spans="2:12" ht="70.75" x14ac:dyDescent="0.35">
      <c r="B374" s="175" t="s">
        <v>1965</v>
      </c>
      <c r="C374" s="13" t="s">
        <v>65</v>
      </c>
      <c r="D374" s="13" t="s">
        <v>66</v>
      </c>
      <c r="E374" s="13" t="s">
        <v>67</v>
      </c>
      <c r="F374" s="13" t="s">
        <v>68</v>
      </c>
      <c r="G374" s="14" t="s">
        <v>775</v>
      </c>
      <c r="H374" s="14">
        <v>579.4</v>
      </c>
      <c r="I374" s="14" t="s">
        <v>776</v>
      </c>
      <c r="J374" s="14" t="s">
        <v>1966</v>
      </c>
      <c r="K374" s="13" t="s">
        <v>1735</v>
      </c>
      <c r="L374" s="13" t="s">
        <v>72</v>
      </c>
    </row>
    <row r="375" spans="2:12" ht="56.6" x14ac:dyDescent="0.35">
      <c r="B375" s="174"/>
      <c r="C375" s="13" t="s">
        <v>73</v>
      </c>
      <c r="D375" s="13" t="s">
        <v>74</v>
      </c>
      <c r="E375" s="13" t="s">
        <v>67</v>
      </c>
      <c r="F375" s="13" t="s">
        <v>68</v>
      </c>
      <c r="G375" s="14" t="s">
        <v>777</v>
      </c>
      <c r="H375" s="14">
        <v>374.1</v>
      </c>
      <c r="I375" s="14" t="s">
        <v>1967</v>
      </c>
      <c r="J375" s="14"/>
      <c r="K375" s="13" t="s">
        <v>1736</v>
      </c>
      <c r="L375" s="13" t="s">
        <v>72</v>
      </c>
    </row>
    <row r="376" spans="2:12" ht="99" x14ac:dyDescent="0.35">
      <c r="B376" s="174"/>
      <c r="C376" s="13" t="s">
        <v>77</v>
      </c>
      <c r="D376" s="13" t="s">
        <v>78</v>
      </c>
      <c r="E376" s="13" t="s">
        <v>79</v>
      </c>
      <c r="F376" s="13" t="s">
        <v>80</v>
      </c>
      <c r="G376" s="14" t="s">
        <v>81</v>
      </c>
      <c r="H376" s="14">
        <v>2</v>
      </c>
      <c r="I376" s="14" t="s">
        <v>778</v>
      </c>
      <c r="J376" s="14" t="s">
        <v>1968</v>
      </c>
      <c r="K376" s="13" t="s">
        <v>84</v>
      </c>
      <c r="L376" s="13" t="s">
        <v>85</v>
      </c>
    </row>
    <row r="377" spans="2:12" ht="84.9" x14ac:dyDescent="0.35">
      <c r="B377" s="174"/>
      <c r="C377" s="13" t="s">
        <v>86</v>
      </c>
      <c r="D377" s="13" t="s">
        <v>87</v>
      </c>
      <c r="E377" s="13" t="s">
        <v>88</v>
      </c>
      <c r="F377" s="13" t="s">
        <v>89</v>
      </c>
      <c r="G377" s="14" t="s">
        <v>463</v>
      </c>
      <c r="H377" s="14">
        <v>0</v>
      </c>
      <c r="I377" s="14" t="s">
        <v>1739</v>
      </c>
      <c r="J377" s="14" t="s">
        <v>667</v>
      </c>
      <c r="K377" s="13" t="s">
        <v>93</v>
      </c>
      <c r="L377" s="13" t="s">
        <v>94</v>
      </c>
    </row>
    <row r="378" spans="2:12" ht="70.75" x14ac:dyDescent="0.35">
      <c r="B378" s="174"/>
      <c r="C378" s="13" t="s">
        <v>95</v>
      </c>
      <c r="D378" s="13" t="s">
        <v>96</v>
      </c>
      <c r="E378" s="13" t="s">
        <v>97</v>
      </c>
      <c r="F378" s="13" t="s">
        <v>98</v>
      </c>
      <c r="G378" s="14" t="s">
        <v>687</v>
      </c>
      <c r="H378" s="14" t="s">
        <v>688</v>
      </c>
      <c r="I378" s="14" t="s">
        <v>779</v>
      </c>
      <c r="J378" s="14" t="s">
        <v>1969</v>
      </c>
      <c r="K378" s="13" t="s">
        <v>102</v>
      </c>
      <c r="L378" s="13" t="s">
        <v>103</v>
      </c>
    </row>
    <row r="379" spans="2:12" ht="42.45" x14ac:dyDescent="0.35">
      <c r="B379" s="174"/>
      <c r="C379" s="13" t="s">
        <v>104</v>
      </c>
      <c r="D379" s="13" t="s">
        <v>105</v>
      </c>
      <c r="E379" s="13" t="s">
        <v>79</v>
      </c>
      <c r="F379" s="13" t="s">
        <v>106</v>
      </c>
      <c r="G379" s="14" t="s">
        <v>218</v>
      </c>
      <c r="H379" s="14">
        <v>3</v>
      </c>
      <c r="I379" s="14" t="s">
        <v>780</v>
      </c>
      <c r="J379" s="14" t="s">
        <v>1970</v>
      </c>
      <c r="K379" s="13" t="s">
        <v>1737</v>
      </c>
      <c r="L379" s="13" t="s">
        <v>110</v>
      </c>
    </row>
    <row r="380" spans="2:12" ht="84.9" x14ac:dyDescent="0.35">
      <c r="B380" s="174"/>
      <c r="C380" s="13" t="s">
        <v>111</v>
      </c>
      <c r="D380" s="13" t="s">
        <v>112</v>
      </c>
      <c r="E380" s="13" t="s">
        <v>79</v>
      </c>
      <c r="F380" s="13" t="s">
        <v>113</v>
      </c>
      <c r="G380" s="14" t="s">
        <v>189</v>
      </c>
      <c r="H380" s="14">
        <v>2</v>
      </c>
      <c r="I380" s="14" t="s">
        <v>781</v>
      </c>
      <c r="J380" s="14" t="s">
        <v>116</v>
      </c>
      <c r="K380" s="13" t="s">
        <v>117</v>
      </c>
      <c r="L380" s="13" t="s">
        <v>118</v>
      </c>
    </row>
    <row r="381" spans="2:12" ht="70.75" x14ac:dyDescent="0.35">
      <c r="B381" s="174"/>
      <c r="C381" s="13" t="s">
        <v>119</v>
      </c>
      <c r="D381" s="13" t="s">
        <v>120</v>
      </c>
      <c r="E381" s="13" t="s">
        <v>97</v>
      </c>
      <c r="F381" s="13" t="s">
        <v>121</v>
      </c>
      <c r="G381" s="14" t="s">
        <v>248</v>
      </c>
      <c r="H381" s="14" t="s">
        <v>123</v>
      </c>
      <c r="I381" s="14" t="s">
        <v>782</v>
      </c>
      <c r="J381" s="14" t="s">
        <v>125</v>
      </c>
      <c r="K381" s="13" t="s">
        <v>126</v>
      </c>
      <c r="L381" s="13" t="s">
        <v>127</v>
      </c>
    </row>
    <row r="382" spans="2:12" ht="14.6" thickBot="1" x14ac:dyDescent="0.4"/>
    <row r="383" spans="2:12" ht="70.75" x14ac:dyDescent="0.35">
      <c r="B383" s="169" t="s">
        <v>1818</v>
      </c>
      <c r="C383" s="8" t="s">
        <v>65</v>
      </c>
      <c r="D383" s="8" t="s">
        <v>66</v>
      </c>
      <c r="E383" s="8" t="s">
        <v>67</v>
      </c>
      <c r="F383" s="8" t="s">
        <v>68</v>
      </c>
      <c r="G383" s="9" t="s">
        <v>783</v>
      </c>
      <c r="H383" s="9">
        <v>427.33</v>
      </c>
      <c r="I383" s="9" t="s">
        <v>784</v>
      </c>
      <c r="J383" s="9" t="s">
        <v>785</v>
      </c>
      <c r="K383" s="8" t="s">
        <v>1735</v>
      </c>
      <c r="L383" s="11" t="s">
        <v>72</v>
      </c>
    </row>
    <row r="384" spans="2:12" ht="56.6" x14ac:dyDescent="0.35">
      <c r="B384" s="170"/>
      <c r="C384" s="13" t="s">
        <v>73</v>
      </c>
      <c r="D384" s="13" t="s">
        <v>74</v>
      </c>
      <c r="E384" s="13" t="s">
        <v>67</v>
      </c>
      <c r="F384" s="13" t="s">
        <v>68</v>
      </c>
      <c r="G384" s="14" t="s">
        <v>786</v>
      </c>
      <c r="H384" s="14">
        <v>219.5</v>
      </c>
      <c r="I384" s="14" t="s">
        <v>787</v>
      </c>
      <c r="J384" s="14" t="s">
        <v>788</v>
      </c>
      <c r="K384" s="13" t="s">
        <v>1736</v>
      </c>
      <c r="L384" s="16" t="s">
        <v>72</v>
      </c>
    </row>
    <row r="385" spans="2:12" ht="99" x14ac:dyDescent="0.35">
      <c r="B385" s="170"/>
      <c r="C385" s="13" t="s">
        <v>77</v>
      </c>
      <c r="D385" s="13" t="s">
        <v>78</v>
      </c>
      <c r="E385" s="13" t="s">
        <v>79</v>
      </c>
      <c r="F385" s="13" t="s">
        <v>80</v>
      </c>
      <c r="G385" s="14" t="s">
        <v>81</v>
      </c>
      <c r="H385" s="14">
        <v>2</v>
      </c>
      <c r="I385" s="14" t="s">
        <v>789</v>
      </c>
      <c r="J385" s="14" t="s">
        <v>790</v>
      </c>
      <c r="K385" s="13" t="s">
        <v>84</v>
      </c>
      <c r="L385" s="16" t="s">
        <v>85</v>
      </c>
    </row>
    <row r="386" spans="2:12" ht="84.9" x14ac:dyDescent="0.35">
      <c r="B386" s="170"/>
      <c r="C386" s="13" t="s">
        <v>86</v>
      </c>
      <c r="D386" s="13" t="s">
        <v>87</v>
      </c>
      <c r="E386" s="13" t="s">
        <v>88</v>
      </c>
      <c r="F386" s="13" t="s">
        <v>89</v>
      </c>
      <c r="G386" s="14" t="s">
        <v>463</v>
      </c>
      <c r="H386" s="14">
        <v>0</v>
      </c>
      <c r="I386" s="14" t="s">
        <v>1740</v>
      </c>
      <c r="J386" s="14"/>
      <c r="K386" s="13" t="s">
        <v>791</v>
      </c>
      <c r="L386" s="16" t="s">
        <v>94</v>
      </c>
    </row>
    <row r="387" spans="2:12" ht="70.75" x14ac:dyDescent="0.35">
      <c r="B387" s="170"/>
      <c r="C387" s="13" t="s">
        <v>95</v>
      </c>
      <c r="D387" s="13" t="s">
        <v>96</v>
      </c>
      <c r="E387" s="13" t="s">
        <v>97</v>
      </c>
      <c r="F387" s="13" t="s">
        <v>98</v>
      </c>
      <c r="G387" s="14" t="s">
        <v>668</v>
      </c>
      <c r="H387" s="14" t="s">
        <v>669</v>
      </c>
      <c r="I387" s="14" t="s">
        <v>792</v>
      </c>
      <c r="J387" s="14" t="s">
        <v>790</v>
      </c>
      <c r="K387" s="13" t="s">
        <v>102</v>
      </c>
      <c r="L387" s="16" t="s">
        <v>103</v>
      </c>
    </row>
    <row r="388" spans="2:12" ht="42.45" x14ac:dyDescent="0.35">
      <c r="B388" s="170"/>
      <c r="C388" s="13" t="s">
        <v>104</v>
      </c>
      <c r="D388" s="13" t="s">
        <v>105</v>
      </c>
      <c r="E388" s="13" t="s">
        <v>79</v>
      </c>
      <c r="F388" s="13" t="s">
        <v>106</v>
      </c>
      <c r="G388" s="14" t="s">
        <v>218</v>
      </c>
      <c r="H388" s="14">
        <v>3</v>
      </c>
      <c r="I388" s="14" t="s">
        <v>793</v>
      </c>
      <c r="J388" s="14" t="s">
        <v>790</v>
      </c>
      <c r="K388" s="13" t="s">
        <v>1737</v>
      </c>
      <c r="L388" s="16" t="s">
        <v>110</v>
      </c>
    </row>
    <row r="389" spans="2:12" ht="84.9" x14ac:dyDescent="0.35">
      <c r="B389" s="170"/>
      <c r="C389" s="13" t="s">
        <v>111</v>
      </c>
      <c r="D389" s="13" t="s">
        <v>112</v>
      </c>
      <c r="E389" s="13" t="s">
        <v>79</v>
      </c>
      <c r="F389" s="13" t="s">
        <v>113</v>
      </c>
      <c r="G389" s="14" t="s">
        <v>189</v>
      </c>
      <c r="H389" s="14">
        <v>2</v>
      </c>
      <c r="I389" s="14" t="s">
        <v>794</v>
      </c>
      <c r="J389" s="14" t="s">
        <v>116</v>
      </c>
      <c r="K389" s="13" t="s">
        <v>117</v>
      </c>
      <c r="L389" s="16" t="s">
        <v>118</v>
      </c>
    </row>
    <row r="390" spans="2:12" ht="71.150000000000006" thickBot="1" x14ac:dyDescent="0.4">
      <c r="B390" s="171"/>
      <c r="C390" s="17" t="s">
        <v>119</v>
      </c>
      <c r="D390" s="17" t="s">
        <v>120</v>
      </c>
      <c r="E390" s="17" t="s">
        <v>97</v>
      </c>
      <c r="F390" s="17" t="s">
        <v>121</v>
      </c>
      <c r="G390" s="18" t="s">
        <v>248</v>
      </c>
      <c r="H390" s="18" t="s">
        <v>123</v>
      </c>
      <c r="I390" s="18" t="s">
        <v>795</v>
      </c>
      <c r="J390" s="18" t="s">
        <v>125</v>
      </c>
      <c r="K390" s="17" t="s">
        <v>126</v>
      </c>
      <c r="L390" s="19" t="s">
        <v>127</v>
      </c>
    </row>
    <row r="391" spans="2:12" ht="14.6" thickBot="1" x14ac:dyDescent="0.4"/>
    <row r="392" spans="2:12" ht="70.75" x14ac:dyDescent="0.35">
      <c r="B392" s="169" t="s">
        <v>1819</v>
      </c>
      <c r="C392" s="8" t="s">
        <v>65</v>
      </c>
      <c r="D392" s="8" t="s">
        <v>66</v>
      </c>
      <c r="E392" s="8" t="s">
        <v>67</v>
      </c>
      <c r="F392" s="8" t="s">
        <v>68</v>
      </c>
      <c r="G392" s="9" t="s">
        <v>796</v>
      </c>
      <c r="H392" s="9">
        <v>526</v>
      </c>
      <c r="I392" s="9" t="s">
        <v>797</v>
      </c>
      <c r="J392" s="9" t="s">
        <v>798</v>
      </c>
      <c r="K392" s="8" t="s">
        <v>1735</v>
      </c>
      <c r="L392" s="11" t="s">
        <v>72</v>
      </c>
    </row>
    <row r="393" spans="2:12" ht="56.6" x14ac:dyDescent="0.35">
      <c r="B393" s="170"/>
      <c r="C393" s="13" t="s">
        <v>73</v>
      </c>
      <c r="D393" s="13" t="s">
        <v>74</v>
      </c>
      <c r="E393" s="13" t="s">
        <v>67</v>
      </c>
      <c r="F393" s="13" t="s">
        <v>68</v>
      </c>
      <c r="G393" s="14" t="s">
        <v>799</v>
      </c>
      <c r="H393" s="14">
        <v>431.9</v>
      </c>
      <c r="I393" s="14" t="s">
        <v>800</v>
      </c>
      <c r="J393" s="14" t="s">
        <v>801</v>
      </c>
      <c r="K393" s="13" t="s">
        <v>1736</v>
      </c>
      <c r="L393" s="16" t="s">
        <v>72</v>
      </c>
    </row>
    <row r="394" spans="2:12" ht="113.15" x14ac:dyDescent="0.35">
      <c r="B394" s="170"/>
      <c r="C394" s="13" t="s">
        <v>77</v>
      </c>
      <c r="D394" s="13" t="s">
        <v>78</v>
      </c>
      <c r="E394" s="13" t="s">
        <v>79</v>
      </c>
      <c r="F394" s="13" t="s">
        <v>80</v>
      </c>
      <c r="G394" s="14" t="s">
        <v>81</v>
      </c>
      <c r="H394" s="14">
        <v>2</v>
      </c>
      <c r="I394" s="14" t="s">
        <v>802</v>
      </c>
      <c r="J394" s="14" t="s">
        <v>803</v>
      </c>
      <c r="K394" s="13" t="s">
        <v>84</v>
      </c>
      <c r="L394" s="16" t="s">
        <v>85</v>
      </c>
    </row>
    <row r="395" spans="2:12" ht="84.9" x14ac:dyDescent="0.35">
      <c r="B395" s="170"/>
      <c r="C395" s="13" t="s">
        <v>86</v>
      </c>
      <c r="D395" s="13" t="s">
        <v>87</v>
      </c>
      <c r="E395" s="13" t="s">
        <v>88</v>
      </c>
      <c r="F395" s="13" t="s">
        <v>89</v>
      </c>
      <c r="G395" s="14" t="s">
        <v>463</v>
      </c>
      <c r="H395" s="14">
        <v>0</v>
      </c>
      <c r="I395" s="14" t="s">
        <v>804</v>
      </c>
      <c r="J395" s="14" t="s">
        <v>805</v>
      </c>
      <c r="K395" s="13" t="s">
        <v>93</v>
      </c>
      <c r="L395" s="16" t="s">
        <v>94</v>
      </c>
    </row>
    <row r="396" spans="2:12" ht="70.75" x14ac:dyDescent="0.35">
      <c r="B396" s="170"/>
      <c r="C396" s="13" t="s">
        <v>95</v>
      </c>
      <c r="D396" s="13" t="s">
        <v>96</v>
      </c>
      <c r="E396" s="13" t="s">
        <v>97</v>
      </c>
      <c r="F396" s="13" t="s">
        <v>98</v>
      </c>
      <c r="G396" s="14" t="s">
        <v>668</v>
      </c>
      <c r="H396" s="14" t="s">
        <v>669</v>
      </c>
      <c r="I396" s="14" t="s">
        <v>806</v>
      </c>
      <c r="J396" s="14" t="s">
        <v>807</v>
      </c>
      <c r="K396" s="13" t="s">
        <v>102</v>
      </c>
      <c r="L396" s="16" t="s">
        <v>103</v>
      </c>
    </row>
    <row r="397" spans="2:12" ht="56.6" x14ac:dyDescent="0.35">
      <c r="B397" s="170"/>
      <c r="C397" s="13" t="s">
        <v>104</v>
      </c>
      <c r="D397" s="13" t="s">
        <v>105</v>
      </c>
      <c r="E397" s="13" t="s">
        <v>79</v>
      </c>
      <c r="F397" s="13" t="s">
        <v>106</v>
      </c>
      <c r="G397" s="14" t="s">
        <v>218</v>
      </c>
      <c r="H397" s="14">
        <v>3</v>
      </c>
      <c r="I397" s="14" t="s">
        <v>808</v>
      </c>
      <c r="J397" s="14" t="s">
        <v>809</v>
      </c>
      <c r="K397" s="13" t="s">
        <v>1737</v>
      </c>
      <c r="L397" s="16" t="s">
        <v>110</v>
      </c>
    </row>
    <row r="398" spans="2:12" ht="113.15" x14ac:dyDescent="0.35">
      <c r="B398" s="170"/>
      <c r="C398" s="13" t="s">
        <v>111</v>
      </c>
      <c r="D398" s="13" t="s">
        <v>112</v>
      </c>
      <c r="E398" s="13" t="s">
        <v>79</v>
      </c>
      <c r="F398" s="13" t="s">
        <v>113</v>
      </c>
      <c r="G398" s="14" t="s">
        <v>189</v>
      </c>
      <c r="H398" s="14">
        <v>2</v>
      </c>
      <c r="I398" s="14" t="s">
        <v>810</v>
      </c>
      <c r="J398" s="14" t="s">
        <v>811</v>
      </c>
      <c r="K398" s="13" t="s">
        <v>117</v>
      </c>
      <c r="L398" s="16" t="s">
        <v>118</v>
      </c>
    </row>
    <row r="399" spans="2:12" ht="141.9" thickBot="1" x14ac:dyDescent="0.4">
      <c r="B399" s="171"/>
      <c r="C399" s="17" t="s">
        <v>119</v>
      </c>
      <c r="D399" s="17" t="s">
        <v>120</v>
      </c>
      <c r="E399" s="17" t="s">
        <v>97</v>
      </c>
      <c r="F399" s="17" t="s">
        <v>121</v>
      </c>
      <c r="G399" s="18" t="s">
        <v>248</v>
      </c>
      <c r="H399" s="18" t="s">
        <v>123</v>
      </c>
      <c r="I399" s="18" t="s">
        <v>812</v>
      </c>
      <c r="J399" s="18" t="s">
        <v>813</v>
      </c>
      <c r="K399" s="17" t="s">
        <v>126</v>
      </c>
      <c r="L399" s="19" t="s">
        <v>127</v>
      </c>
    </row>
    <row r="400" spans="2:12" ht="14.6" thickBot="1" x14ac:dyDescent="0.4"/>
    <row r="401" spans="2:12" ht="70.75" x14ac:dyDescent="0.35">
      <c r="B401" s="169" t="s">
        <v>1820</v>
      </c>
      <c r="C401" s="8" t="s">
        <v>65</v>
      </c>
      <c r="D401" s="8" t="s">
        <v>66</v>
      </c>
      <c r="E401" s="8" t="s">
        <v>67</v>
      </c>
      <c r="F401" s="8" t="s">
        <v>68</v>
      </c>
      <c r="G401" s="9" t="s">
        <v>814</v>
      </c>
      <c r="H401" s="9">
        <v>549.94000000000005</v>
      </c>
      <c r="I401" s="9" t="s">
        <v>815</v>
      </c>
      <c r="J401" s="9" t="s">
        <v>816</v>
      </c>
      <c r="K401" s="8" t="s">
        <v>1735</v>
      </c>
      <c r="L401" s="11" t="s">
        <v>72</v>
      </c>
    </row>
    <row r="402" spans="2:12" ht="56.6" x14ac:dyDescent="0.35">
      <c r="B402" s="170"/>
      <c r="C402" s="13" t="s">
        <v>73</v>
      </c>
      <c r="D402" s="13" t="s">
        <v>74</v>
      </c>
      <c r="E402" s="13" t="s">
        <v>67</v>
      </c>
      <c r="F402" s="13" t="s">
        <v>68</v>
      </c>
      <c r="G402" s="14" t="s">
        <v>817</v>
      </c>
      <c r="H402" s="14">
        <v>365.82</v>
      </c>
      <c r="I402" s="14" t="s">
        <v>818</v>
      </c>
      <c r="J402" s="14" t="s">
        <v>819</v>
      </c>
      <c r="K402" s="13" t="s">
        <v>1736</v>
      </c>
      <c r="L402" s="16" t="s">
        <v>72</v>
      </c>
    </row>
    <row r="403" spans="2:12" ht="99" x14ac:dyDescent="0.35">
      <c r="B403" s="170"/>
      <c r="C403" s="13" t="s">
        <v>77</v>
      </c>
      <c r="D403" s="13" t="s">
        <v>78</v>
      </c>
      <c r="E403" s="13" t="s">
        <v>79</v>
      </c>
      <c r="F403" s="13" t="s">
        <v>80</v>
      </c>
      <c r="G403" s="14" t="s">
        <v>308</v>
      </c>
      <c r="H403" s="14">
        <v>3</v>
      </c>
      <c r="I403" s="14" t="s">
        <v>820</v>
      </c>
      <c r="J403" s="14" t="s">
        <v>821</v>
      </c>
      <c r="K403" s="13" t="s">
        <v>84</v>
      </c>
      <c r="L403" s="16" t="s">
        <v>85</v>
      </c>
    </row>
    <row r="404" spans="2:12" ht="84.9" x14ac:dyDescent="0.35">
      <c r="B404" s="170"/>
      <c r="C404" s="13" t="s">
        <v>86</v>
      </c>
      <c r="D404" s="13" t="s">
        <v>87</v>
      </c>
      <c r="E404" s="13" t="s">
        <v>88</v>
      </c>
      <c r="F404" s="13" t="s">
        <v>89</v>
      </c>
      <c r="G404" s="14" t="s">
        <v>463</v>
      </c>
      <c r="H404" s="14">
        <v>0</v>
      </c>
      <c r="I404" s="14" t="s">
        <v>822</v>
      </c>
      <c r="J404" s="14" t="s">
        <v>823</v>
      </c>
      <c r="K404" s="13" t="s">
        <v>93</v>
      </c>
      <c r="L404" s="16" t="s">
        <v>94</v>
      </c>
    </row>
    <row r="405" spans="2:12" ht="70.75" x14ac:dyDescent="0.35">
      <c r="B405" s="170"/>
      <c r="C405" s="13" t="s">
        <v>95</v>
      </c>
      <c r="D405" s="13" t="s">
        <v>96</v>
      </c>
      <c r="E405" s="13" t="s">
        <v>97</v>
      </c>
      <c r="F405" s="13" t="s">
        <v>98</v>
      </c>
      <c r="G405" s="14" t="s">
        <v>687</v>
      </c>
      <c r="H405" s="14" t="s">
        <v>688</v>
      </c>
      <c r="I405" s="14" t="s">
        <v>824</v>
      </c>
      <c r="J405" s="14" t="s">
        <v>825</v>
      </c>
      <c r="K405" s="13" t="s">
        <v>102</v>
      </c>
      <c r="L405" s="16" t="s">
        <v>103</v>
      </c>
    </row>
    <row r="406" spans="2:12" ht="42.45" x14ac:dyDescent="0.35">
      <c r="B406" s="170"/>
      <c r="C406" s="13" t="s">
        <v>104</v>
      </c>
      <c r="D406" s="13" t="s">
        <v>105</v>
      </c>
      <c r="E406" s="13" t="s">
        <v>79</v>
      </c>
      <c r="F406" s="13" t="s">
        <v>106</v>
      </c>
      <c r="G406" s="14" t="s">
        <v>218</v>
      </c>
      <c r="H406" s="14">
        <v>3</v>
      </c>
      <c r="I406" s="14" t="s">
        <v>826</v>
      </c>
      <c r="J406" s="14" t="s">
        <v>827</v>
      </c>
      <c r="K406" s="13" t="s">
        <v>1737</v>
      </c>
      <c r="L406" s="16" t="s">
        <v>110</v>
      </c>
    </row>
    <row r="407" spans="2:12" ht="99" x14ac:dyDescent="0.35">
      <c r="B407" s="170"/>
      <c r="C407" s="13" t="s">
        <v>111</v>
      </c>
      <c r="D407" s="13" t="s">
        <v>112</v>
      </c>
      <c r="E407" s="13" t="s">
        <v>79</v>
      </c>
      <c r="F407" s="13" t="s">
        <v>113</v>
      </c>
      <c r="G407" s="14" t="s">
        <v>189</v>
      </c>
      <c r="H407" s="14">
        <v>2</v>
      </c>
      <c r="I407" s="14" t="s">
        <v>828</v>
      </c>
      <c r="J407" s="14" t="s">
        <v>829</v>
      </c>
      <c r="K407" s="13" t="s">
        <v>117</v>
      </c>
      <c r="L407" s="16" t="s">
        <v>118</v>
      </c>
    </row>
    <row r="408" spans="2:12" ht="127.75" thickBot="1" x14ac:dyDescent="0.4">
      <c r="B408" s="171"/>
      <c r="C408" s="17" t="s">
        <v>119</v>
      </c>
      <c r="D408" s="17" t="s">
        <v>120</v>
      </c>
      <c r="E408" s="17" t="s">
        <v>97</v>
      </c>
      <c r="F408" s="17" t="s">
        <v>121</v>
      </c>
      <c r="G408" s="18" t="s">
        <v>248</v>
      </c>
      <c r="H408" s="18" t="s">
        <v>123</v>
      </c>
      <c r="I408" s="18" t="s">
        <v>830</v>
      </c>
      <c r="J408" s="18" t="s">
        <v>831</v>
      </c>
      <c r="K408" s="17" t="s">
        <v>126</v>
      </c>
      <c r="L408" s="19" t="s">
        <v>127</v>
      </c>
    </row>
    <row r="409" spans="2:12" ht="14.6" thickBot="1" x14ac:dyDescent="0.4"/>
    <row r="410" spans="2:12" ht="70.75" x14ac:dyDescent="0.35">
      <c r="B410" s="169" t="s">
        <v>1821</v>
      </c>
      <c r="C410" s="8" t="s">
        <v>65</v>
      </c>
      <c r="D410" s="8" t="s">
        <v>66</v>
      </c>
      <c r="E410" s="8" t="s">
        <v>67</v>
      </c>
      <c r="F410" s="8" t="s">
        <v>68</v>
      </c>
      <c r="G410" s="9" t="s">
        <v>832</v>
      </c>
      <c r="H410" s="9">
        <v>501</v>
      </c>
      <c r="I410" s="9" t="s">
        <v>833</v>
      </c>
      <c r="J410" s="9" t="s">
        <v>834</v>
      </c>
      <c r="K410" s="8" t="s">
        <v>1735</v>
      </c>
      <c r="L410" s="11" t="s">
        <v>72</v>
      </c>
    </row>
    <row r="411" spans="2:12" ht="56.6" x14ac:dyDescent="0.35">
      <c r="B411" s="170"/>
      <c r="C411" s="13" t="s">
        <v>73</v>
      </c>
      <c r="D411" s="13" t="s">
        <v>74</v>
      </c>
      <c r="E411" s="13" t="s">
        <v>67</v>
      </c>
      <c r="F411" s="13" t="s">
        <v>68</v>
      </c>
      <c r="G411" s="14" t="s">
        <v>835</v>
      </c>
      <c r="H411" s="14">
        <v>392.5</v>
      </c>
      <c r="I411" s="14" t="s">
        <v>836</v>
      </c>
      <c r="J411" s="14" t="s">
        <v>837</v>
      </c>
      <c r="K411" s="13" t="s">
        <v>1736</v>
      </c>
      <c r="L411" s="16" t="s">
        <v>72</v>
      </c>
    </row>
    <row r="412" spans="2:12" ht="99" x14ac:dyDescent="0.35">
      <c r="B412" s="170"/>
      <c r="C412" s="13" t="s">
        <v>77</v>
      </c>
      <c r="D412" s="13" t="s">
        <v>78</v>
      </c>
      <c r="E412" s="13" t="s">
        <v>79</v>
      </c>
      <c r="F412" s="13" t="s">
        <v>80</v>
      </c>
      <c r="G412" s="14" t="s">
        <v>81</v>
      </c>
      <c r="H412" s="14">
        <v>2</v>
      </c>
      <c r="I412" s="14" t="s">
        <v>838</v>
      </c>
      <c r="J412" s="14" t="s">
        <v>839</v>
      </c>
      <c r="K412" s="13" t="s">
        <v>84</v>
      </c>
      <c r="L412" s="16" t="s">
        <v>85</v>
      </c>
    </row>
    <row r="413" spans="2:12" ht="84.9" x14ac:dyDescent="0.35">
      <c r="B413" s="170"/>
      <c r="C413" s="13" t="s">
        <v>86</v>
      </c>
      <c r="D413" s="13" t="s">
        <v>87</v>
      </c>
      <c r="E413" s="13" t="s">
        <v>88</v>
      </c>
      <c r="F413" s="13" t="s">
        <v>89</v>
      </c>
      <c r="G413" s="14" t="s">
        <v>463</v>
      </c>
      <c r="H413" s="14">
        <v>0</v>
      </c>
      <c r="I413" s="14" t="s">
        <v>840</v>
      </c>
      <c r="J413" s="14" t="s">
        <v>495</v>
      </c>
      <c r="K413" s="13" t="s">
        <v>93</v>
      </c>
      <c r="L413" s="16" t="s">
        <v>94</v>
      </c>
    </row>
    <row r="414" spans="2:12" ht="70.75" x14ac:dyDescent="0.35">
      <c r="B414" s="170"/>
      <c r="C414" s="13" t="s">
        <v>95</v>
      </c>
      <c r="D414" s="13" t="s">
        <v>96</v>
      </c>
      <c r="E414" s="13" t="s">
        <v>97</v>
      </c>
      <c r="F414" s="13" t="s">
        <v>98</v>
      </c>
      <c r="G414" s="14" t="s">
        <v>687</v>
      </c>
      <c r="H414" s="14" t="s">
        <v>688</v>
      </c>
      <c r="I414" s="14" t="s">
        <v>841</v>
      </c>
      <c r="J414" s="14" t="s">
        <v>842</v>
      </c>
      <c r="K414" s="13" t="s">
        <v>102</v>
      </c>
      <c r="L414" s="16" t="s">
        <v>103</v>
      </c>
    </row>
    <row r="415" spans="2:12" ht="42.45" x14ac:dyDescent="0.35">
      <c r="B415" s="170"/>
      <c r="C415" s="13" t="s">
        <v>104</v>
      </c>
      <c r="D415" s="13" t="s">
        <v>105</v>
      </c>
      <c r="E415" s="13" t="s">
        <v>79</v>
      </c>
      <c r="F415" s="13" t="s">
        <v>106</v>
      </c>
      <c r="G415" s="14" t="s">
        <v>218</v>
      </c>
      <c r="H415" s="14">
        <v>3</v>
      </c>
      <c r="I415" s="14" t="s">
        <v>843</v>
      </c>
      <c r="J415" s="14" t="s">
        <v>842</v>
      </c>
      <c r="K415" s="13" t="s">
        <v>1737</v>
      </c>
      <c r="L415" s="16" t="s">
        <v>110</v>
      </c>
    </row>
    <row r="416" spans="2:12" ht="70.75" x14ac:dyDescent="0.35">
      <c r="B416" s="170"/>
      <c r="C416" s="13" t="s">
        <v>111</v>
      </c>
      <c r="D416" s="13" t="s">
        <v>112</v>
      </c>
      <c r="E416" s="13" t="s">
        <v>79</v>
      </c>
      <c r="F416" s="13" t="s">
        <v>113</v>
      </c>
      <c r="G416" s="14" t="s">
        <v>189</v>
      </c>
      <c r="H416" s="14">
        <v>2</v>
      </c>
      <c r="I416" s="14" t="s">
        <v>844</v>
      </c>
      <c r="J416" s="14" t="s">
        <v>845</v>
      </c>
      <c r="K416" s="13" t="s">
        <v>117</v>
      </c>
      <c r="L416" s="16" t="s">
        <v>118</v>
      </c>
    </row>
    <row r="417" spans="2:12" ht="71.150000000000006" thickBot="1" x14ac:dyDescent="0.4">
      <c r="B417" s="171"/>
      <c r="C417" s="17" t="s">
        <v>119</v>
      </c>
      <c r="D417" s="17" t="s">
        <v>120</v>
      </c>
      <c r="E417" s="17" t="s">
        <v>97</v>
      </c>
      <c r="F417" s="17" t="s">
        <v>121</v>
      </c>
      <c r="G417" s="18" t="s">
        <v>221</v>
      </c>
      <c r="H417" s="18" t="s">
        <v>173</v>
      </c>
      <c r="I417" s="18" t="s">
        <v>846</v>
      </c>
      <c r="J417" s="18" t="s">
        <v>125</v>
      </c>
      <c r="K417" s="17" t="s">
        <v>126</v>
      </c>
      <c r="L417" s="19" t="s">
        <v>127</v>
      </c>
    </row>
    <row r="418" spans="2:12" ht="14.6" thickBot="1" x14ac:dyDescent="0.4"/>
    <row r="419" spans="2:12" ht="70.75" x14ac:dyDescent="0.35">
      <c r="B419" s="169" t="s">
        <v>1822</v>
      </c>
      <c r="C419" s="8" t="s">
        <v>65</v>
      </c>
      <c r="D419" s="8" t="s">
        <v>66</v>
      </c>
      <c r="E419" s="8" t="s">
        <v>67</v>
      </c>
      <c r="F419" s="8" t="s">
        <v>68</v>
      </c>
      <c r="G419" s="9" t="s">
        <v>847</v>
      </c>
      <c r="H419" s="9">
        <v>678.55</v>
      </c>
      <c r="I419" s="9" t="s">
        <v>848</v>
      </c>
      <c r="J419" s="9" t="s">
        <v>849</v>
      </c>
      <c r="K419" s="8" t="s">
        <v>1735</v>
      </c>
      <c r="L419" s="11" t="s">
        <v>72</v>
      </c>
    </row>
    <row r="420" spans="2:12" ht="56.6" x14ac:dyDescent="0.35">
      <c r="B420" s="170"/>
      <c r="C420" s="13" t="s">
        <v>73</v>
      </c>
      <c r="D420" s="13" t="s">
        <v>74</v>
      </c>
      <c r="E420" s="13" t="s">
        <v>67</v>
      </c>
      <c r="F420" s="13" t="s">
        <v>68</v>
      </c>
      <c r="G420" s="14" t="s">
        <v>850</v>
      </c>
      <c r="H420" s="14">
        <v>449.59</v>
      </c>
      <c r="I420" s="14" t="s">
        <v>851</v>
      </c>
      <c r="J420" s="14" t="s">
        <v>852</v>
      </c>
      <c r="K420" s="13" t="s">
        <v>1736</v>
      </c>
      <c r="L420" s="16" t="s">
        <v>72</v>
      </c>
    </row>
    <row r="421" spans="2:12" ht="99" x14ac:dyDescent="0.35">
      <c r="B421" s="170"/>
      <c r="C421" s="13" t="s">
        <v>77</v>
      </c>
      <c r="D421" s="13" t="s">
        <v>78</v>
      </c>
      <c r="E421" s="13" t="s">
        <v>79</v>
      </c>
      <c r="F421" s="13" t="s">
        <v>80</v>
      </c>
      <c r="G421" s="14" t="s">
        <v>81</v>
      </c>
      <c r="H421" s="14">
        <v>2</v>
      </c>
      <c r="I421" s="14" t="s">
        <v>853</v>
      </c>
      <c r="J421" s="14" t="s">
        <v>854</v>
      </c>
      <c r="K421" s="13" t="s">
        <v>84</v>
      </c>
      <c r="L421" s="16" t="s">
        <v>85</v>
      </c>
    </row>
    <row r="422" spans="2:12" ht="84.9" x14ac:dyDescent="0.35">
      <c r="B422" s="170"/>
      <c r="C422" s="13" t="s">
        <v>86</v>
      </c>
      <c r="D422" s="13" t="s">
        <v>87</v>
      </c>
      <c r="E422" s="13" t="s">
        <v>88</v>
      </c>
      <c r="F422" s="13" t="s">
        <v>89</v>
      </c>
      <c r="G422" s="14" t="s">
        <v>463</v>
      </c>
      <c r="H422" s="14">
        <v>0</v>
      </c>
      <c r="I422" s="14" t="s">
        <v>855</v>
      </c>
      <c r="J422" s="14" t="s">
        <v>856</v>
      </c>
      <c r="K422" s="13" t="s">
        <v>93</v>
      </c>
      <c r="L422" s="16" t="s">
        <v>94</v>
      </c>
    </row>
    <row r="423" spans="2:12" ht="70.75" x14ac:dyDescent="0.35">
      <c r="B423" s="170"/>
      <c r="C423" s="13" t="s">
        <v>95</v>
      </c>
      <c r="D423" s="13" t="s">
        <v>96</v>
      </c>
      <c r="E423" s="13" t="s">
        <v>97</v>
      </c>
      <c r="F423" s="13" t="s">
        <v>98</v>
      </c>
      <c r="G423" s="14" t="s">
        <v>668</v>
      </c>
      <c r="H423" s="14" t="s">
        <v>669</v>
      </c>
      <c r="I423" s="14" t="s">
        <v>857</v>
      </c>
      <c r="J423" s="14" t="s">
        <v>858</v>
      </c>
      <c r="K423" s="13" t="s">
        <v>102</v>
      </c>
      <c r="L423" s="16" t="s">
        <v>103</v>
      </c>
    </row>
    <row r="424" spans="2:12" ht="42.45" x14ac:dyDescent="0.35">
      <c r="B424" s="170"/>
      <c r="C424" s="13" t="s">
        <v>104</v>
      </c>
      <c r="D424" s="13" t="s">
        <v>105</v>
      </c>
      <c r="E424" s="13" t="s">
        <v>79</v>
      </c>
      <c r="F424" s="13" t="s">
        <v>106</v>
      </c>
      <c r="G424" s="14" t="s">
        <v>218</v>
      </c>
      <c r="H424" s="14">
        <v>3</v>
      </c>
      <c r="I424" s="14" t="s">
        <v>859</v>
      </c>
      <c r="J424" s="14" t="s">
        <v>860</v>
      </c>
      <c r="K424" s="13" t="s">
        <v>1737</v>
      </c>
      <c r="L424" s="16" t="s">
        <v>110</v>
      </c>
    </row>
    <row r="425" spans="2:12" ht="84.9" x14ac:dyDescent="0.35">
      <c r="B425" s="170"/>
      <c r="C425" s="13" t="s">
        <v>111</v>
      </c>
      <c r="D425" s="13" t="s">
        <v>112</v>
      </c>
      <c r="E425" s="13" t="s">
        <v>79</v>
      </c>
      <c r="F425" s="13" t="s">
        <v>113</v>
      </c>
      <c r="G425" s="14" t="s">
        <v>579</v>
      </c>
      <c r="H425" s="14">
        <v>1</v>
      </c>
      <c r="I425" s="14" t="s">
        <v>861</v>
      </c>
      <c r="J425" s="14" t="s">
        <v>862</v>
      </c>
      <c r="K425" s="13" t="s">
        <v>117</v>
      </c>
      <c r="L425" s="16" t="s">
        <v>118</v>
      </c>
    </row>
    <row r="426" spans="2:12" ht="127.75" thickBot="1" x14ac:dyDescent="0.4">
      <c r="B426" s="171"/>
      <c r="C426" s="17" t="s">
        <v>119</v>
      </c>
      <c r="D426" s="17" t="s">
        <v>120</v>
      </c>
      <c r="E426" s="17" t="s">
        <v>97</v>
      </c>
      <c r="F426" s="17" t="s">
        <v>121</v>
      </c>
      <c r="G426" s="18" t="s">
        <v>248</v>
      </c>
      <c r="H426" s="18" t="s">
        <v>123</v>
      </c>
      <c r="I426" s="18" t="s">
        <v>863</v>
      </c>
      <c r="J426" s="18" t="s">
        <v>864</v>
      </c>
      <c r="K426" s="17" t="s">
        <v>126</v>
      </c>
      <c r="L426" s="19" t="s">
        <v>127</v>
      </c>
    </row>
    <row r="427" spans="2:12" ht="14.6" thickBot="1" x14ac:dyDescent="0.4"/>
    <row r="428" spans="2:12" ht="70.75" x14ac:dyDescent="0.35">
      <c r="B428" s="169" t="s">
        <v>1823</v>
      </c>
      <c r="C428" s="8" t="s">
        <v>65</v>
      </c>
      <c r="D428" s="8" t="s">
        <v>66</v>
      </c>
      <c r="E428" s="8" t="s">
        <v>67</v>
      </c>
      <c r="F428" s="8" t="s">
        <v>68</v>
      </c>
      <c r="G428" s="9" t="s">
        <v>865</v>
      </c>
      <c r="H428" s="9">
        <v>318.23</v>
      </c>
      <c r="I428" s="9" t="s">
        <v>866</v>
      </c>
      <c r="J428" s="9" t="s">
        <v>867</v>
      </c>
      <c r="K428" s="8" t="s">
        <v>1735</v>
      </c>
      <c r="L428" s="11" t="s">
        <v>72</v>
      </c>
    </row>
    <row r="429" spans="2:12" ht="56.6" x14ac:dyDescent="0.35">
      <c r="B429" s="170"/>
      <c r="C429" s="13" t="s">
        <v>73</v>
      </c>
      <c r="D429" s="13" t="s">
        <v>74</v>
      </c>
      <c r="E429" s="13" t="s">
        <v>67</v>
      </c>
      <c r="F429" s="13" t="s">
        <v>68</v>
      </c>
      <c r="G429" s="14" t="s">
        <v>868</v>
      </c>
      <c r="H429" s="14">
        <v>222.97</v>
      </c>
      <c r="I429" s="14" t="s">
        <v>869</v>
      </c>
      <c r="J429" s="14" t="s">
        <v>870</v>
      </c>
      <c r="K429" s="13" t="s">
        <v>1736</v>
      </c>
      <c r="L429" s="16" t="s">
        <v>72</v>
      </c>
    </row>
    <row r="430" spans="2:12" ht="99" x14ac:dyDescent="0.35">
      <c r="B430" s="170"/>
      <c r="C430" s="13" t="s">
        <v>77</v>
      </c>
      <c r="D430" s="13" t="s">
        <v>78</v>
      </c>
      <c r="E430" s="13" t="s">
        <v>79</v>
      </c>
      <c r="F430" s="13" t="s">
        <v>80</v>
      </c>
      <c r="G430" s="14" t="s">
        <v>81</v>
      </c>
      <c r="H430" s="14">
        <v>2</v>
      </c>
      <c r="I430" s="14" t="s">
        <v>871</v>
      </c>
      <c r="J430" s="14" t="s">
        <v>872</v>
      </c>
      <c r="K430" s="13" t="s">
        <v>84</v>
      </c>
      <c r="L430" s="16" t="s">
        <v>85</v>
      </c>
    </row>
    <row r="431" spans="2:12" ht="84.9" x14ac:dyDescent="0.35">
      <c r="B431" s="170"/>
      <c r="C431" s="13" t="s">
        <v>86</v>
      </c>
      <c r="D431" s="13" t="s">
        <v>87</v>
      </c>
      <c r="E431" s="13" t="s">
        <v>88</v>
      </c>
      <c r="F431" s="13" t="s">
        <v>89</v>
      </c>
      <c r="G431" s="14" t="s">
        <v>463</v>
      </c>
      <c r="H431" s="14">
        <v>0</v>
      </c>
      <c r="I431" s="14" t="s">
        <v>873</v>
      </c>
      <c r="J431" s="14" t="s">
        <v>495</v>
      </c>
      <c r="K431" s="13" t="s">
        <v>93</v>
      </c>
      <c r="L431" s="16" t="s">
        <v>94</v>
      </c>
    </row>
    <row r="432" spans="2:12" ht="70.75" x14ac:dyDescent="0.35">
      <c r="B432" s="170"/>
      <c r="C432" s="13" t="s">
        <v>95</v>
      </c>
      <c r="D432" s="13" t="s">
        <v>96</v>
      </c>
      <c r="E432" s="13" t="s">
        <v>97</v>
      </c>
      <c r="F432" s="13" t="s">
        <v>98</v>
      </c>
      <c r="G432" s="14" t="s">
        <v>668</v>
      </c>
      <c r="H432" s="14" t="s">
        <v>669</v>
      </c>
      <c r="I432" s="14" t="s">
        <v>874</v>
      </c>
      <c r="J432" s="14" t="s">
        <v>875</v>
      </c>
      <c r="K432" s="13" t="s">
        <v>102</v>
      </c>
      <c r="L432" s="16" t="s">
        <v>103</v>
      </c>
    </row>
    <row r="433" spans="2:12" ht="42.45" x14ac:dyDescent="0.35">
      <c r="B433" s="170"/>
      <c r="C433" s="13" t="s">
        <v>104</v>
      </c>
      <c r="D433" s="13" t="s">
        <v>105</v>
      </c>
      <c r="E433" s="13" t="s">
        <v>79</v>
      </c>
      <c r="F433" s="13" t="s">
        <v>106</v>
      </c>
      <c r="G433" s="14" t="s">
        <v>218</v>
      </c>
      <c r="H433" s="14">
        <v>3</v>
      </c>
      <c r="I433" s="14" t="s">
        <v>876</v>
      </c>
      <c r="J433" s="14" t="s">
        <v>877</v>
      </c>
      <c r="K433" s="13" t="s">
        <v>1737</v>
      </c>
      <c r="L433" s="16" t="s">
        <v>110</v>
      </c>
    </row>
    <row r="434" spans="2:12" ht="84.9" x14ac:dyDescent="0.35">
      <c r="B434" s="170"/>
      <c r="C434" s="13" t="s">
        <v>111</v>
      </c>
      <c r="D434" s="13" t="s">
        <v>112</v>
      </c>
      <c r="E434" s="13" t="s">
        <v>79</v>
      </c>
      <c r="F434" s="13" t="s">
        <v>113</v>
      </c>
      <c r="G434" s="14" t="s">
        <v>579</v>
      </c>
      <c r="H434" s="14">
        <v>1</v>
      </c>
      <c r="I434" s="14" t="s">
        <v>878</v>
      </c>
      <c r="J434" s="14" t="s">
        <v>879</v>
      </c>
      <c r="K434" s="13" t="s">
        <v>117</v>
      </c>
      <c r="L434" s="16" t="s">
        <v>118</v>
      </c>
    </row>
    <row r="435" spans="2:12" ht="85.3" thickBot="1" x14ac:dyDescent="0.4">
      <c r="B435" s="171"/>
      <c r="C435" s="17" t="s">
        <v>119</v>
      </c>
      <c r="D435" s="17" t="s">
        <v>120</v>
      </c>
      <c r="E435" s="17" t="s">
        <v>97</v>
      </c>
      <c r="F435" s="17" t="s">
        <v>121</v>
      </c>
      <c r="G435" s="18" t="s">
        <v>248</v>
      </c>
      <c r="H435" s="18" t="s">
        <v>123</v>
      </c>
      <c r="I435" s="18" t="s">
        <v>880</v>
      </c>
      <c r="J435" s="18" t="s">
        <v>125</v>
      </c>
      <c r="K435" s="17" t="s">
        <v>126</v>
      </c>
      <c r="L435" s="19" t="s">
        <v>127</v>
      </c>
    </row>
    <row r="436" spans="2:12" ht="14.6" thickBot="1" x14ac:dyDescent="0.4"/>
    <row r="437" spans="2:12" ht="70.75" x14ac:dyDescent="0.35">
      <c r="B437" s="169" t="s">
        <v>1824</v>
      </c>
      <c r="C437" s="8" t="s">
        <v>65</v>
      </c>
      <c r="D437" s="8" t="s">
        <v>66</v>
      </c>
      <c r="E437" s="8" t="s">
        <v>67</v>
      </c>
      <c r="F437" s="8" t="s">
        <v>68</v>
      </c>
      <c r="G437" s="9" t="s">
        <v>881</v>
      </c>
      <c r="H437" s="9">
        <v>542.73</v>
      </c>
      <c r="I437" s="9" t="s">
        <v>882</v>
      </c>
      <c r="J437" s="9" t="s">
        <v>883</v>
      </c>
      <c r="K437" s="8" t="s">
        <v>1735</v>
      </c>
      <c r="L437" s="11" t="s">
        <v>72</v>
      </c>
    </row>
    <row r="438" spans="2:12" ht="56.6" x14ac:dyDescent="0.35">
      <c r="B438" s="170"/>
      <c r="C438" s="13" t="s">
        <v>73</v>
      </c>
      <c r="D438" s="13" t="s">
        <v>74</v>
      </c>
      <c r="E438" s="13" t="s">
        <v>67</v>
      </c>
      <c r="F438" s="13" t="s">
        <v>68</v>
      </c>
      <c r="G438" s="14" t="s">
        <v>884</v>
      </c>
      <c r="H438" s="14">
        <v>386.53</v>
      </c>
      <c r="I438" s="14" t="s">
        <v>885</v>
      </c>
      <c r="J438" s="14" t="s">
        <v>886</v>
      </c>
      <c r="K438" s="13" t="s">
        <v>1736</v>
      </c>
      <c r="L438" s="16" t="s">
        <v>72</v>
      </c>
    </row>
    <row r="439" spans="2:12" ht="99" x14ac:dyDescent="0.35">
      <c r="B439" s="170"/>
      <c r="C439" s="13" t="s">
        <v>77</v>
      </c>
      <c r="D439" s="13" t="s">
        <v>78</v>
      </c>
      <c r="E439" s="13" t="s">
        <v>79</v>
      </c>
      <c r="F439" s="13" t="s">
        <v>80</v>
      </c>
      <c r="G439" s="14" t="s">
        <v>81</v>
      </c>
      <c r="H439" s="14">
        <v>2</v>
      </c>
      <c r="I439" s="14" t="s">
        <v>887</v>
      </c>
      <c r="J439" s="14" t="s">
        <v>888</v>
      </c>
      <c r="K439" s="13" t="s">
        <v>84</v>
      </c>
      <c r="L439" s="16" t="s">
        <v>85</v>
      </c>
    </row>
    <row r="440" spans="2:12" ht="84.9" x14ac:dyDescent="0.35">
      <c r="B440" s="170"/>
      <c r="C440" s="13" t="s">
        <v>86</v>
      </c>
      <c r="D440" s="13" t="s">
        <v>87</v>
      </c>
      <c r="E440" s="13" t="s">
        <v>88</v>
      </c>
      <c r="F440" s="13" t="s">
        <v>89</v>
      </c>
      <c r="G440" s="14" t="s">
        <v>463</v>
      </c>
      <c r="H440" s="14">
        <v>0</v>
      </c>
      <c r="I440" s="14" t="s">
        <v>889</v>
      </c>
      <c r="J440" s="14" t="s">
        <v>890</v>
      </c>
      <c r="K440" s="13" t="s">
        <v>93</v>
      </c>
      <c r="L440" s="16" t="s">
        <v>94</v>
      </c>
    </row>
    <row r="441" spans="2:12" ht="70.75" x14ac:dyDescent="0.35">
      <c r="B441" s="170"/>
      <c r="C441" s="13" t="s">
        <v>95</v>
      </c>
      <c r="D441" s="13" t="s">
        <v>96</v>
      </c>
      <c r="E441" s="13" t="s">
        <v>97</v>
      </c>
      <c r="F441" s="13" t="s">
        <v>98</v>
      </c>
      <c r="G441" s="14" t="s">
        <v>668</v>
      </c>
      <c r="H441" s="14" t="s">
        <v>669</v>
      </c>
      <c r="I441" s="14" t="s">
        <v>891</v>
      </c>
      <c r="J441" s="14" t="s">
        <v>892</v>
      </c>
      <c r="K441" s="13" t="s">
        <v>102</v>
      </c>
      <c r="L441" s="16" t="s">
        <v>103</v>
      </c>
    </row>
    <row r="442" spans="2:12" ht="42.45" x14ac:dyDescent="0.35">
      <c r="B442" s="170"/>
      <c r="C442" s="13" t="s">
        <v>104</v>
      </c>
      <c r="D442" s="13" t="s">
        <v>105</v>
      </c>
      <c r="E442" s="13" t="s">
        <v>79</v>
      </c>
      <c r="F442" s="13" t="s">
        <v>106</v>
      </c>
      <c r="G442" s="14" t="s">
        <v>218</v>
      </c>
      <c r="H442" s="14">
        <v>3</v>
      </c>
      <c r="I442" s="14" t="s">
        <v>893</v>
      </c>
      <c r="J442" s="14" t="s">
        <v>894</v>
      </c>
      <c r="K442" s="13" t="s">
        <v>1737</v>
      </c>
      <c r="L442" s="16" t="s">
        <v>110</v>
      </c>
    </row>
    <row r="443" spans="2:12" ht="70.75" x14ac:dyDescent="0.35">
      <c r="B443" s="170"/>
      <c r="C443" s="13" t="s">
        <v>111</v>
      </c>
      <c r="D443" s="13" t="s">
        <v>112</v>
      </c>
      <c r="E443" s="13" t="s">
        <v>79</v>
      </c>
      <c r="F443" s="13" t="s">
        <v>113</v>
      </c>
      <c r="G443" s="14" t="s">
        <v>579</v>
      </c>
      <c r="H443" s="14">
        <v>1</v>
      </c>
      <c r="I443" s="14" t="s">
        <v>895</v>
      </c>
      <c r="J443" s="14" t="s">
        <v>896</v>
      </c>
      <c r="K443" s="13" t="s">
        <v>117</v>
      </c>
      <c r="L443" s="16" t="s">
        <v>118</v>
      </c>
    </row>
    <row r="444" spans="2:12" ht="113.6" thickBot="1" x14ac:dyDescent="0.4">
      <c r="B444" s="171"/>
      <c r="C444" s="17" t="s">
        <v>119</v>
      </c>
      <c r="D444" s="17" t="s">
        <v>120</v>
      </c>
      <c r="E444" s="17" t="s">
        <v>97</v>
      </c>
      <c r="F444" s="17" t="s">
        <v>121</v>
      </c>
      <c r="G444" s="18" t="s">
        <v>248</v>
      </c>
      <c r="H444" s="18" t="s">
        <v>123</v>
      </c>
      <c r="I444" s="18" t="s">
        <v>897</v>
      </c>
      <c r="J444" s="18" t="s">
        <v>898</v>
      </c>
      <c r="K444" s="17" t="s">
        <v>126</v>
      </c>
      <c r="L444" s="19" t="s">
        <v>127</v>
      </c>
    </row>
    <row r="446" spans="2:12" x14ac:dyDescent="0.35">
      <c r="B446" s="129" t="s">
        <v>1875</v>
      </c>
    </row>
    <row r="447" spans="2:12" ht="14.15" customHeight="1" x14ac:dyDescent="0.35">
      <c r="B447" s="183" t="s">
        <v>1990</v>
      </c>
      <c r="C447" s="183"/>
      <c r="D447" s="183"/>
      <c r="E447" s="183"/>
      <c r="F447" s="183"/>
      <c r="G447" s="183"/>
      <c r="H447" s="183"/>
    </row>
    <row r="448" spans="2:12" x14ac:dyDescent="0.35">
      <c r="B448" s="183"/>
      <c r="C448" s="183"/>
      <c r="D448" s="183"/>
      <c r="E448" s="183"/>
      <c r="F448" s="183"/>
      <c r="G448" s="183"/>
      <c r="H448" s="183"/>
    </row>
    <row r="449" spans="2:8" x14ac:dyDescent="0.35">
      <c r="B449" s="183"/>
      <c r="C449" s="183"/>
      <c r="D449" s="183"/>
      <c r="E449" s="183"/>
      <c r="F449" s="183"/>
      <c r="G449" s="183"/>
      <c r="H449" s="183"/>
    </row>
    <row r="450" spans="2:8" x14ac:dyDescent="0.35">
      <c r="B450" s="183"/>
      <c r="C450" s="183"/>
      <c r="D450" s="183"/>
      <c r="E450" s="183"/>
      <c r="F450" s="183"/>
      <c r="G450" s="183"/>
      <c r="H450" s="183"/>
    </row>
    <row r="451" spans="2:8" x14ac:dyDescent="0.35">
      <c r="B451" s="183"/>
      <c r="C451" s="183"/>
      <c r="D451" s="183"/>
      <c r="E451" s="183"/>
      <c r="F451" s="183"/>
      <c r="G451" s="183"/>
      <c r="H451" s="183"/>
    </row>
    <row r="452" spans="2:8" x14ac:dyDescent="0.35">
      <c r="B452" s="183"/>
      <c r="C452" s="183"/>
      <c r="D452" s="183"/>
      <c r="E452" s="183"/>
      <c r="F452" s="183"/>
      <c r="G452" s="183"/>
      <c r="H452" s="183"/>
    </row>
    <row r="453" spans="2:8" x14ac:dyDescent="0.35">
      <c r="B453" s="183"/>
      <c r="C453" s="183"/>
      <c r="D453" s="183"/>
      <c r="E453" s="183"/>
      <c r="F453" s="183"/>
      <c r="G453" s="183"/>
      <c r="H453" s="183"/>
    </row>
    <row r="454" spans="2:8" x14ac:dyDescent="0.35">
      <c r="B454" s="183"/>
      <c r="C454" s="183"/>
      <c r="D454" s="183"/>
      <c r="E454" s="183"/>
      <c r="F454" s="183"/>
      <c r="G454" s="183"/>
      <c r="H454" s="183"/>
    </row>
    <row r="455" spans="2:8" x14ac:dyDescent="0.35">
      <c r="B455" s="183"/>
      <c r="C455" s="183"/>
      <c r="D455" s="183"/>
      <c r="E455" s="183"/>
      <c r="F455" s="183"/>
      <c r="G455" s="183"/>
      <c r="H455" s="183"/>
    </row>
    <row r="456" spans="2:8" x14ac:dyDescent="0.35">
      <c r="B456" s="183"/>
      <c r="C456" s="183"/>
      <c r="D456" s="183"/>
      <c r="E456" s="183"/>
      <c r="F456" s="183"/>
      <c r="G456" s="183"/>
      <c r="H456" s="183"/>
    </row>
    <row r="457" spans="2:8" x14ac:dyDescent="0.35">
      <c r="B457" s="183"/>
      <c r="C457" s="183"/>
      <c r="D457" s="183"/>
      <c r="E457" s="183"/>
      <c r="F457" s="183"/>
      <c r="G457" s="183"/>
      <c r="H457" s="183"/>
    </row>
    <row r="458" spans="2:8" x14ac:dyDescent="0.35">
      <c r="B458" s="183"/>
      <c r="C458" s="183"/>
      <c r="D458" s="183"/>
      <c r="E458" s="183"/>
      <c r="F458" s="183"/>
      <c r="G458" s="183"/>
      <c r="H458" s="183"/>
    </row>
    <row r="459" spans="2:8" x14ac:dyDescent="0.35">
      <c r="B459" s="183"/>
      <c r="C459" s="183"/>
      <c r="D459" s="183"/>
      <c r="E459" s="183"/>
      <c r="F459" s="183"/>
      <c r="G459" s="183"/>
      <c r="H459" s="183"/>
    </row>
    <row r="460" spans="2:8" x14ac:dyDescent="0.35">
      <c r="B460" s="183"/>
      <c r="C460" s="183"/>
      <c r="D460" s="183"/>
      <c r="E460" s="183"/>
      <c r="F460" s="183"/>
      <c r="G460" s="183"/>
      <c r="H460" s="183"/>
    </row>
    <row r="461" spans="2:8" x14ac:dyDescent="0.35">
      <c r="B461" s="183"/>
      <c r="C461" s="183"/>
      <c r="D461" s="183"/>
      <c r="E461" s="183"/>
      <c r="F461" s="183"/>
      <c r="G461" s="183"/>
      <c r="H461" s="183"/>
    </row>
    <row r="462" spans="2:8" x14ac:dyDescent="0.35">
      <c r="B462" s="183"/>
      <c r="C462" s="183"/>
      <c r="D462" s="183"/>
      <c r="E462" s="183"/>
      <c r="F462" s="183"/>
      <c r="G462" s="183"/>
      <c r="H462" s="183"/>
    </row>
    <row r="463" spans="2:8" x14ac:dyDescent="0.35">
      <c r="B463" s="183"/>
      <c r="C463" s="183"/>
      <c r="D463" s="183"/>
      <c r="E463" s="183"/>
      <c r="F463" s="183"/>
      <c r="G463" s="183"/>
      <c r="H463" s="183"/>
    </row>
    <row r="464" spans="2:8" x14ac:dyDescent="0.35">
      <c r="B464" s="183"/>
      <c r="C464" s="183"/>
      <c r="D464" s="183"/>
      <c r="E464" s="183"/>
      <c r="F464" s="183"/>
      <c r="G464" s="183"/>
      <c r="H464" s="183"/>
    </row>
    <row r="465" spans="2:8" x14ac:dyDescent="0.35">
      <c r="B465" s="184"/>
      <c r="C465" s="184"/>
      <c r="D465" s="184"/>
      <c r="E465" s="184"/>
      <c r="F465" s="184"/>
      <c r="G465" s="184"/>
      <c r="H465" s="184"/>
    </row>
    <row r="466" spans="2:8" x14ac:dyDescent="0.35">
      <c r="B466" s="184"/>
      <c r="C466" s="184"/>
      <c r="D466" s="184"/>
      <c r="E466" s="184"/>
      <c r="F466" s="184"/>
      <c r="G466" s="184"/>
      <c r="H466" s="184"/>
    </row>
    <row r="467" spans="2:8" x14ac:dyDescent="0.35">
      <c r="B467" s="184"/>
      <c r="C467" s="184"/>
      <c r="D467" s="184"/>
      <c r="E467" s="184"/>
      <c r="F467" s="184"/>
      <c r="G467" s="184"/>
      <c r="H467" s="184"/>
    </row>
    <row r="468" spans="2:8" x14ac:dyDescent="0.35">
      <c r="B468" s="184"/>
      <c r="C468" s="184"/>
      <c r="D468" s="184"/>
      <c r="E468" s="184"/>
      <c r="F468" s="184"/>
      <c r="G468" s="184"/>
      <c r="H468" s="184"/>
    </row>
  </sheetData>
  <mergeCells count="51">
    <mergeCell ref="B447:H464"/>
    <mergeCell ref="B2:L2"/>
    <mergeCell ref="B437:B444"/>
    <mergeCell ref="B383:B390"/>
    <mergeCell ref="B392:B399"/>
    <mergeCell ref="B401:B408"/>
    <mergeCell ref="B410:B417"/>
    <mergeCell ref="B419:B426"/>
    <mergeCell ref="B428:B435"/>
    <mergeCell ref="B374:B381"/>
    <mergeCell ref="B274:B281"/>
    <mergeCell ref="B283:B290"/>
    <mergeCell ref="B292:B299"/>
    <mergeCell ref="B302:B309"/>
    <mergeCell ref="B311:B318"/>
    <mergeCell ref="B320:B327"/>
    <mergeCell ref="B329:B336"/>
    <mergeCell ref="B338:B345"/>
    <mergeCell ref="B347:B354"/>
    <mergeCell ref="B356:B363"/>
    <mergeCell ref="B365:B372"/>
    <mergeCell ref="B265:B272"/>
    <mergeCell ref="B238:B245"/>
    <mergeCell ref="B247:B254"/>
    <mergeCell ref="B166:B173"/>
    <mergeCell ref="B175:B182"/>
    <mergeCell ref="B184:B191"/>
    <mergeCell ref="B193:B200"/>
    <mergeCell ref="B202:B209"/>
    <mergeCell ref="B256:B263"/>
    <mergeCell ref="B157:B164"/>
    <mergeCell ref="B58:B65"/>
    <mergeCell ref="B67:B74"/>
    <mergeCell ref="B76:B83"/>
    <mergeCell ref="B85:B92"/>
    <mergeCell ref="B94:B101"/>
    <mergeCell ref="B103:B110"/>
    <mergeCell ref="B112:B119"/>
    <mergeCell ref="B121:B128"/>
    <mergeCell ref="B130:B137"/>
    <mergeCell ref="B139:B146"/>
    <mergeCell ref="B148:B155"/>
    <mergeCell ref="B211:B218"/>
    <mergeCell ref="B220:B227"/>
    <mergeCell ref="B229:B236"/>
    <mergeCell ref="B49:B56"/>
    <mergeCell ref="B4:B11"/>
    <mergeCell ref="B13:B20"/>
    <mergeCell ref="B22:B29"/>
    <mergeCell ref="B31:B38"/>
    <mergeCell ref="B40:B4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8D5D-B4D3-47E2-90DD-BCD57E1B5D7D}">
  <dimension ref="B2:L447"/>
  <sheetViews>
    <sheetView zoomScale="78" zoomScaleNormal="78" workbookViewId="0">
      <pane ySplit="3" topLeftCell="A4" activePane="bottomLeft" state="frozen"/>
      <selection pane="bottomLeft" activeCell="B425" sqref="B425:J447"/>
    </sheetView>
  </sheetViews>
  <sheetFormatPr defaultRowHeight="15" customHeight="1" x14ac:dyDescent="0.35"/>
  <cols>
    <col min="1" max="1" width="4.640625" style="1" customWidth="1"/>
    <col min="2" max="2" width="10.78515625" style="1" customWidth="1"/>
    <col min="3" max="3" width="16.640625" style="1" customWidth="1"/>
    <col min="4" max="4" width="17.5703125" style="1" customWidth="1"/>
    <col min="5" max="5" width="16.2109375" style="6" customWidth="1"/>
    <col min="6" max="6" width="26" style="6" customWidth="1"/>
    <col min="7" max="8" width="9.140625" style="1"/>
    <col min="9" max="9" width="37" style="1" customWidth="1"/>
    <col min="10" max="16384" width="9.140625" style="1"/>
  </cols>
  <sheetData>
    <row r="2" spans="2:12" ht="25" customHeight="1" thickBot="1" x14ac:dyDescent="0.4">
      <c r="B2" s="186" t="s">
        <v>1991</v>
      </c>
      <c r="C2" s="186"/>
      <c r="D2" s="186"/>
      <c r="E2" s="186"/>
      <c r="F2" s="186"/>
      <c r="G2" s="186"/>
      <c r="H2" s="186"/>
      <c r="I2" s="186"/>
      <c r="J2" s="186"/>
      <c r="K2" s="186"/>
      <c r="L2" s="186"/>
    </row>
    <row r="3" spans="2:12" s="2" customFormat="1" ht="15" customHeight="1" thickBot="1" x14ac:dyDescent="0.4">
      <c r="B3" s="104" t="s">
        <v>899</v>
      </c>
      <c r="C3" s="103" t="s">
        <v>25</v>
      </c>
      <c r="D3" s="103" t="s">
        <v>26</v>
      </c>
      <c r="E3" s="103" t="s">
        <v>900</v>
      </c>
      <c r="F3" s="103" t="s">
        <v>901</v>
      </c>
      <c r="G3" s="115" t="s">
        <v>902</v>
      </c>
      <c r="H3" s="116" t="s">
        <v>903</v>
      </c>
      <c r="I3" s="103" t="s">
        <v>904</v>
      </c>
      <c r="J3" s="116" t="s">
        <v>905</v>
      </c>
      <c r="K3" s="116" t="s">
        <v>906</v>
      </c>
      <c r="L3" s="105" t="s">
        <v>907</v>
      </c>
    </row>
    <row r="4" spans="2:12" ht="15" customHeight="1" x14ac:dyDescent="0.35">
      <c r="B4" s="30" t="s">
        <v>35</v>
      </c>
      <c r="C4" s="32" t="s">
        <v>36</v>
      </c>
      <c r="D4" s="32" t="s">
        <v>908</v>
      </c>
      <c r="E4" s="33" t="s">
        <v>909</v>
      </c>
      <c r="F4" s="33" t="s">
        <v>910</v>
      </c>
      <c r="G4" s="34">
        <v>5.1760496082953331</v>
      </c>
      <c r="H4" s="34">
        <v>4.017198050506666</v>
      </c>
      <c r="I4" s="32" t="s">
        <v>911</v>
      </c>
      <c r="J4" s="34">
        <v>3.201703918301499</v>
      </c>
      <c r="K4" s="34">
        <v>1.4518993501688886</v>
      </c>
      <c r="L4" s="35" t="s">
        <v>912</v>
      </c>
    </row>
    <row r="5" spans="2:12" ht="15" customHeight="1" x14ac:dyDescent="0.35">
      <c r="B5" s="28" t="s">
        <v>35</v>
      </c>
      <c r="C5" s="1" t="s">
        <v>36</v>
      </c>
      <c r="D5" s="1" t="s">
        <v>908</v>
      </c>
      <c r="E5" s="6" t="s">
        <v>909</v>
      </c>
      <c r="F5" s="6" t="s">
        <v>910</v>
      </c>
      <c r="G5" s="36">
        <v>1.2273582283076649</v>
      </c>
      <c r="H5" s="36">
        <v>-0.87149999999999983</v>
      </c>
      <c r="I5" s="1" t="s">
        <v>913</v>
      </c>
      <c r="J5" s="36"/>
      <c r="K5" s="36"/>
      <c r="L5" s="37"/>
    </row>
    <row r="6" spans="2:12" ht="15" customHeight="1" x14ac:dyDescent="0.35">
      <c r="B6" s="28" t="s">
        <v>35</v>
      </c>
      <c r="C6" s="1" t="s">
        <v>36</v>
      </c>
      <c r="D6" s="1" t="s">
        <v>914</v>
      </c>
      <c r="E6" s="6" t="s">
        <v>915</v>
      </c>
      <c r="F6" s="6" t="s">
        <v>916</v>
      </c>
      <c r="G6" s="36">
        <v>4.9310808000000002</v>
      </c>
      <c r="H6" s="36">
        <v>5.1287833329999994</v>
      </c>
      <c r="I6" s="1" t="s">
        <v>917</v>
      </c>
      <c r="J6" s="36">
        <v>4.9310808000000002</v>
      </c>
      <c r="K6" s="36">
        <v>5.1287833329999994</v>
      </c>
      <c r="L6" s="38" t="s">
        <v>918</v>
      </c>
    </row>
    <row r="7" spans="2:12" ht="15" customHeight="1" x14ac:dyDescent="0.35">
      <c r="B7" s="28" t="s">
        <v>35</v>
      </c>
      <c r="C7" s="1" t="s">
        <v>36</v>
      </c>
      <c r="D7" s="1" t="s">
        <v>914</v>
      </c>
      <c r="E7" s="6" t="s">
        <v>919</v>
      </c>
      <c r="F7" s="6" t="s">
        <v>920</v>
      </c>
      <c r="G7" s="36">
        <v>4.4814999999999969</v>
      </c>
      <c r="H7" s="36">
        <v>7.5762499999999999</v>
      </c>
      <c r="I7" s="1" t="s">
        <v>921</v>
      </c>
      <c r="J7" s="36">
        <v>4.4814999999999969</v>
      </c>
      <c r="K7" s="36">
        <v>7.5762499999999999</v>
      </c>
      <c r="L7" s="38" t="s">
        <v>918</v>
      </c>
    </row>
    <row r="8" spans="2:12" ht="15" customHeight="1" x14ac:dyDescent="0.35">
      <c r="B8" s="28" t="s">
        <v>35</v>
      </c>
      <c r="C8" s="1" t="s">
        <v>36</v>
      </c>
      <c r="D8" s="1" t="s">
        <v>914</v>
      </c>
      <c r="E8" s="6" t="s">
        <v>919</v>
      </c>
      <c r="F8" s="6" t="s">
        <v>922</v>
      </c>
      <c r="G8" s="36">
        <v>3.9993602170132729</v>
      </c>
      <c r="H8" s="36">
        <v>7.6444882322700414</v>
      </c>
      <c r="I8" s="1" t="s">
        <v>923</v>
      </c>
      <c r="J8" s="36">
        <v>4.2612625310736556</v>
      </c>
      <c r="K8" s="36">
        <v>5.6161259696187429</v>
      </c>
      <c r="L8" s="38" t="s">
        <v>918</v>
      </c>
    </row>
    <row r="9" spans="2:12" ht="15" customHeight="1" x14ac:dyDescent="0.35">
      <c r="B9" s="28" t="s">
        <v>35</v>
      </c>
      <c r="C9" s="1" t="s">
        <v>36</v>
      </c>
      <c r="D9" s="1" t="s">
        <v>914</v>
      </c>
      <c r="E9" s="6" t="s">
        <v>919</v>
      </c>
      <c r="F9" s="6" t="s">
        <v>922</v>
      </c>
      <c r="G9" s="36">
        <v>4.3209372099534349</v>
      </c>
      <c r="H9" s="36">
        <v>5.8858510307714287</v>
      </c>
      <c r="I9" s="1" t="s">
        <v>924</v>
      </c>
      <c r="J9" s="36"/>
      <c r="K9" s="36"/>
      <c r="L9" s="37"/>
    </row>
    <row r="10" spans="2:12" ht="15" customHeight="1" x14ac:dyDescent="0.35">
      <c r="B10" s="28" t="s">
        <v>35</v>
      </c>
      <c r="C10" s="1" t="s">
        <v>36</v>
      </c>
      <c r="D10" s="1" t="s">
        <v>914</v>
      </c>
      <c r="E10" s="6" t="s">
        <v>919</v>
      </c>
      <c r="F10" s="6" t="s">
        <v>922</v>
      </c>
      <c r="G10" s="36">
        <v>4.9507801453710591</v>
      </c>
      <c r="H10" s="36">
        <v>5.7953018374976555</v>
      </c>
      <c r="I10" s="1" t="s">
        <v>925</v>
      </c>
      <c r="J10" s="36"/>
      <c r="K10" s="36"/>
      <c r="L10" s="37"/>
    </row>
    <row r="11" spans="2:12" ht="15" customHeight="1" x14ac:dyDescent="0.35">
      <c r="B11" s="28" t="s">
        <v>35</v>
      </c>
      <c r="C11" s="1" t="s">
        <v>36</v>
      </c>
      <c r="D11" s="1" t="s">
        <v>914</v>
      </c>
      <c r="E11" s="6" t="s">
        <v>919</v>
      </c>
      <c r="F11" s="6" t="s">
        <v>922</v>
      </c>
      <c r="G11" s="36">
        <v>5.168049608295334</v>
      </c>
      <c r="H11" s="36">
        <v>4.7921980505066664</v>
      </c>
      <c r="I11" s="1" t="s">
        <v>911</v>
      </c>
      <c r="J11" s="36"/>
      <c r="K11" s="36"/>
      <c r="L11" s="37"/>
    </row>
    <row r="12" spans="2:12" ht="15" customHeight="1" x14ac:dyDescent="0.35">
      <c r="B12" s="28" t="s">
        <v>35</v>
      </c>
      <c r="C12" s="1" t="s">
        <v>36</v>
      </c>
      <c r="D12" s="1" t="s">
        <v>914</v>
      </c>
      <c r="E12" s="6" t="s">
        <v>919</v>
      </c>
      <c r="F12" s="6" t="s">
        <v>922</v>
      </c>
      <c r="G12" s="36">
        <v>2.8157813391421698</v>
      </c>
      <c r="H12" s="36">
        <v>3.4329999999999998</v>
      </c>
      <c r="I12" s="1" t="s">
        <v>913</v>
      </c>
      <c r="J12" s="36"/>
      <c r="K12" s="36"/>
      <c r="L12" s="37"/>
    </row>
    <row r="13" spans="2:12" ht="15" customHeight="1" x14ac:dyDescent="0.35">
      <c r="B13" s="28" t="s">
        <v>35</v>
      </c>
      <c r="C13" s="1" t="s">
        <v>36</v>
      </c>
      <c r="D13" s="1" t="s">
        <v>914</v>
      </c>
      <c r="E13" s="6" t="s">
        <v>919</v>
      </c>
      <c r="F13" s="6" t="s">
        <v>922</v>
      </c>
      <c r="G13" s="36">
        <v>4.3126666666666651</v>
      </c>
      <c r="H13" s="36">
        <v>6.1459166666666665</v>
      </c>
      <c r="I13" s="1" t="s">
        <v>921</v>
      </c>
      <c r="J13" s="36"/>
      <c r="K13" s="36"/>
      <c r="L13" s="37"/>
    </row>
    <row r="14" spans="2:12" ht="15" customHeight="1" thickBot="1" x14ac:dyDescent="0.4">
      <c r="B14" s="29" t="s">
        <v>35</v>
      </c>
      <c r="C14" s="39" t="s">
        <v>36</v>
      </c>
      <c r="D14" s="39" t="s">
        <v>914</v>
      </c>
      <c r="E14" s="40" t="s">
        <v>926</v>
      </c>
      <c r="F14" s="40" t="s">
        <v>927</v>
      </c>
      <c r="G14" s="41">
        <v>4.7656687499999997</v>
      </c>
      <c r="H14" s="41">
        <v>4.4292833329999999</v>
      </c>
      <c r="I14" s="39" t="s">
        <v>928</v>
      </c>
      <c r="J14" s="41">
        <v>4.7656687499999997</v>
      </c>
      <c r="K14" s="41">
        <v>4.4292833329999999</v>
      </c>
      <c r="L14" s="42" t="s">
        <v>929</v>
      </c>
    </row>
    <row r="15" spans="2:12" ht="15" customHeight="1" x14ac:dyDescent="0.35">
      <c r="C15" s="4" t="s">
        <v>34</v>
      </c>
      <c r="D15" s="1" t="s">
        <v>1578</v>
      </c>
      <c r="E15" s="6" t="s">
        <v>1560</v>
      </c>
      <c r="G15" s="36">
        <f>AVERAGE(G4:G14)</f>
        <v>4.1953847793677204</v>
      </c>
      <c r="H15" s="36">
        <f>AVERAGE(H4:H14)</f>
        <v>4.9069791394744655</v>
      </c>
      <c r="L15" s="43" t="s">
        <v>929</v>
      </c>
    </row>
    <row r="16" spans="2:12" ht="15" customHeight="1" x14ac:dyDescent="0.35">
      <c r="C16" s="4" t="s">
        <v>930</v>
      </c>
    </row>
    <row r="17" spans="2:12" ht="15" customHeight="1" thickBot="1" x14ac:dyDescent="0.4"/>
    <row r="18" spans="2:12" ht="15" customHeight="1" thickBot="1" x14ac:dyDescent="0.4">
      <c r="B18" s="44" t="s">
        <v>35</v>
      </c>
      <c r="C18" s="45" t="s">
        <v>36</v>
      </c>
      <c r="D18" s="45" t="s">
        <v>914</v>
      </c>
      <c r="E18" s="46" t="s">
        <v>915</v>
      </c>
      <c r="F18" s="46" t="s">
        <v>916</v>
      </c>
      <c r="G18" s="47">
        <v>4.9310808000000002</v>
      </c>
      <c r="H18" s="47">
        <v>5.1287833329999994</v>
      </c>
      <c r="I18" s="45" t="s">
        <v>917</v>
      </c>
      <c r="J18" s="47">
        <v>4.9310808000000002</v>
      </c>
      <c r="K18" s="47">
        <v>5.1287833329999994</v>
      </c>
      <c r="L18" s="48" t="s">
        <v>918</v>
      </c>
    </row>
    <row r="19" spans="2:12" ht="15" customHeight="1" x14ac:dyDescent="0.35">
      <c r="E19" s="5" t="s">
        <v>1561</v>
      </c>
      <c r="G19" s="36">
        <f>AVERAGE(G18)</f>
        <v>4.9310808000000002</v>
      </c>
      <c r="H19" s="36">
        <f>AVERAGE(H18)</f>
        <v>5.1287833329999994</v>
      </c>
      <c r="L19" s="49" t="s">
        <v>918</v>
      </c>
    </row>
    <row r="20" spans="2:12" ht="15" customHeight="1" thickBot="1" x14ac:dyDescent="0.4"/>
    <row r="21" spans="2:12" ht="15" customHeight="1" x14ac:dyDescent="0.35">
      <c r="B21" s="30" t="s">
        <v>35</v>
      </c>
      <c r="C21" s="32" t="s">
        <v>36</v>
      </c>
      <c r="D21" s="32" t="s">
        <v>914</v>
      </c>
      <c r="E21" s="33" t="s">
        <v>919</v>
      </c>
      <c r="F21" s="33" t="s">
        <v>920</v>
      </c>
      <c r="G21" s="34">
        <v>4.4814999999999969</v>
      </c>
      <c r="H21" s="34">
        <v>7.5762499999999999</v>
      </c>
      <c r="I21" s="32" t="s">
        <v>921</v>
      </c>
      <c r="J21" s="34">
        <v>4.4814999999999969</v>
      </c>
      <c r="K21" s="34">
        <v>7.5762499999999999</v>
      </c>
      <c r="L21" s="50" t="s">
        <v>918</v>
      </c>
    </row>
    <row r="22" spans="2:12" ht="15" customHeight="1" x14ac:dyDescent="0.35">
      <c r="B22" s="28" t="s">
        <v>35</v>
      </c>
      <c r="C22" s="1" t="s">
        <v>36</v>
      </c>
      <c r="D22" s="1" t="s">
        <v>914</v>
      </c>
      <c r="E22" s="6" t="s">
        <v>919</v>
      </c>
      <c r="F22" s="6" t="s">
        <v>922</v>
      </c>
      <c r="G22" s="36">
        <v>3.9993602170132729</v>
      </c>
      <c r="H22" s="36">
        <v>7.6444882322700414</v>
      </c>
      <c r="I22" s="1" t="s">
        <v>923</v>
      </c>
      <c r="J22" s="36">
        <f>AVERAGE(G22,G24,G23,G25,G26,G27)</f>
        <v>4.2612625310736556</v>
      </c>
      <c r="K22" s="36">
        <f>AVERAGE(H22,H23,H24,H25,H26,H27)</f>
        <v>5.6161259696187429</v>
      </c>
      <c r="L22" s="38" t="s">
        <v>918</v>
      </c>
    </row>
    <row r="23" spans="2:12" ht="15" customHeight="1" x14ac:dyDescent="0.35">
      <c r="B23" s="28" t="s">
        <v>35</v>
      </c>
      <c r="C23" s="1" t="s">
        <v>36</v>
      </c>
      <c r="D23" s="1" t="s">
        <v>914</v>
      </c>
      <c r="E23" s="6" t="s">
        <v>919</v>
      </c>
      <c r="F23" s="6" t="s">
        <v>922</v>
      </c>
      <c r="G23" s="36">
        <v>4.3209372099534349</v>
      </c>
      <c r="H23" s="36">
        <v>5.8858510307714287</v>
      </c>
      <c r="I23" s="1" t="s">
        <v>924</v>
      </c>
      <c r="J23" s="36"/>
      <c r="K23" s="36"/>
      <c r="L23" s="37"/>
    </row>
    <row r="24" spans="2:12" ht="15" customHeight="1" x14ac:dyDescent="0.35">
      <c r="B24" s="28" t="s">
        <v>35</v>
      </c>
      <c r="C24" s="1" t="s">
        <v>36</v>
      </c>
      <c r="D24" s="1" t="s">
        <v>914</v>
      </c>
      <c r="E24" s="6" t="s">
        <v>919</v>
      </c>
      <c r="F24" s="6" t="s">
        <v>922</v>
      </c>
      <c r="G24" s="36">
        <v>4.9507801453710591</v>
      </c>
      <c r="H24" s="36">
        <v>5.7953018374976555</v>
      </c>
      <c r="I24" s="1" t="s">
        <v>925</v>
      </c>
      <c r="J24" s="36"/>
      <c r="K24" s="36"/>
      <c r="L24" s="37"/>
    </row>
    <row r="25" spans="2:12" ht="15" customHeight="1" x14ac:dyDescent="0.35">
      <c r="B25" s="28" t="s">
        <v>35</v>
      </c>
      <c r="C25" s="1" t="s">
        <v>36</v>
      </c>
      <c r="D25" s="1" t="s">
        <v>914</v>
      </c>
      <c r="E25" s="6" t="s">
        <v>919</v>
      </c>
      <c r="F25" s="6" t="s">
        <v>922</v>
      </c>
      <c r="G25" s="36">
        <v>5.168049608295334</v>
      </c>
      <c r="H25" s="36">
        <v>4.7921980505066664</v>
      </c>
      <c r="I25" s="1" t="s">
        <v>911</v>
      </c>
      <c r="J25" s="36"/>
      <c r="K25" s="36"/>
      <c r="L25" s="37"/>
    </row>
    <row r="26" spans="2:12" ht="15" customHeight="1" x14ac:dyDescent="0.35">
      <c r="B26" s="28" t="s">
        <v>35</v>
      </c>
      <c r="C26" s="1" t="s">
        <v>36</v>
      </c>
      <c r="D26" s="1" t="s">
        <v>914</v>
      </c>
      <c r="E26" s="6" t="s">
        <v>919</v>
      </c>
      <c r="F26" s="6" t="s">
        <v>922</v>
      </c>
      <c r="G26" s="36">
        <v>2.8157813391421698</v>
      </c>
      <c r="H26" s="36">
        <v>3.4329999999999998</v>
      </c>
      <c r="I26" s="1" t="s">
        <v>913</v>
      </c>
      <c r="J26" s="36"/>
      <c r="K26" s="36"/>
      <c r="L26" s="37"/>
    </row>
    <row r="27" spans="2:12" ht="15" customHeight="1" thickBot="1" x14ac:dyDescent="0.4">
      <c r="B27" s="29" t="s">
        <v>35</v>
      </c>
      <c r="C27" s="39" t="s">
        <v>36</v>
      </c>
      <c r="D27" s="39" t="s">
        <v>914</v>
      </c>
      <c r="E27" s="40" t="s">
        <v>919</v>
      </c>
      <c r="F27" s="40" t="s">
        <v>922</v>
      </c>
      <c r="G27" s="41">
        <v>4.3126666666666651</v>
      </c>
      <c r="H27" s="41">
        <v>6.1459166666666665</v>
      </c>
      <c r="I27" s="39" t="s">
        <v>921</v>
      </c>
      <c r="J27" s="41"/>
      <c r="K27" s="41"/>
      <c r="L27" s="51"/>
    </row>
    <row r="28" spans="2:12" ht="15" customHeight="1" x14ac:dyDescent="0.35">
      <c r="E28" s="5" t="s">
        <v>1562</v>
      </c>
      <c r="G28" s="36">
        <f>AVERAGE(G21:G27)</f>
        <v>4.292725026634562</v>
      </c>
      <c r="H28" s="36">
        <f>AVERAGE(H21:H27)</f>
        <v>5.8961436882446367</v>
      </c>
      <c r="L28" s="49" t="s">
        <v>918</v>
      </c>
    </row>
    <row r="29" spans="2:12" ht="15" customHeight="1" thickBot="1" x14ac:dyDescent="0.4"/>
    <row r="30" spans="2:12" ht="15" customHeight="1" x14ac:dyDescent="0.35">
      <c r="B30" s="30" t="s">
        <v>35</v>
      </c>
      <c r="C30" s="32" t="s">
        <v>36</v>
      </c>
      <c r="D30" s="32" t="s">
        <v>908</v>
      </c>
      <c r="E30" s="33" t="s">
        <v>909</v>
      </c>
      <c r="F30" s="33" t="s">
        <v>910</v>
      </c>
      <c r="G30" s="34">
        <v>5.1760496082953331</v>
      </c>
      <c r="H30" s="34">
        <v>4.017198050506666</v>
      </c>
      <c r="I30" s="32" t="s">
        <v>911</v>
      </c>
      <c r="J30" s="34">
        <f>AVERAGE(G30,G32)</f>
        <v>3.201703918301499</v>
      </c>
      <c r="K30" s="34">
        <f>AVERAGE(H30:H32)</f>
        <v>1.4518993501688886</v>
      </c>
      <c r="L30" s="35" t="s">
        <v>912</v>
      </c>
    </row>
    <row r="31" spans="2:12" ht="15" customHeight="1" x14ac:dyDescent="0.35">
      <c r="B31" s="28" t="s">
        <v>35</v>
      </c>
      <c r="C31" s="1" t="s">
        <v>36</v>
      </c>
      <c r="D31" s="1" t="s">
        <v>908</v>
      </c>
      <c r="E31" s="6" t="s">
        <v>909</v>
      </c>
      <c r="F31" s="6" t="s">
        <v>910</v>
      </c>
      <c r="G31" s="36"/>
      <c r="H31" s="36">
        <v>1.21</v>
      </c>
      <c r="I31" s="1" t="s">
        <v>931</v>
      </c>
      <c r="J31" s="36"/>
      <c r="K31" s="36"/>
      <c r="L31" s="37"/>
    </row>
    <row r="32" spans="2:12" ht="15" customHeight="1" thickBot="1" x14ac:dyDescent="0.4">
      <c r="B32" s="29" t="s">
        <v>35</v>
      </c>
      <c r="C32" s="39" t="s">
        <v>36</v>
      </c>
      <c r="D32" s="39" t="s">
        <v>1645</v>
      </c>
      <c r="E32" s="40" t="s">
        <v>909</v>
      </c>
      <c r="F32" s="40" t="s">
        <v>910</v>
      </c>
      <c r="G32" s="41">
        <v>1.2273582283076649</v>
      </c>
      <c r="H32" s="41">
        <v>-0.87149999999999983</v>
      </c>
      <c r="I32" s="39" t="s">
        <v>913</v>
      </c>
      <c r="J32" s="41"/>
      <c r="K32" s="41"/>
      <c r="L32" s="51"/>
    </row>
    <row r="33" spans="2:12" ht="15" customHeight="1" x14ac:dyDescent="0.35">
      <c r="E33" s="6" t="s">
        <v>1563</v>
      </c>
      <c r="G33" s="36">
        <f>AVERAGE(G30:G32)</f>
        <v>3.201703918301499</v>
      </c>
      <c r="H33" s="36">
        <f>AVERAGE(H30:H32)</f>
        <v>1.4518993501688886</v>
      </c>
      <c r="L33" s="52" t="s">
        <v>912</v>
      </c>
    </row>
    <row r="34" spans="2:12" ht="15" customHeight="1" thickBot="1" x14ac:dyDescent="0.4"/>
    <row r="35" spans="2:12" ht="15" customHeight="1" x14ac:dyDescent="0.35">
      <c r="B35" s="30" t="s">
        <v>35</v>
      </c>
      <c r="C35" s="32" t="s">
        <v>932</v>
      </c>
      <c r="D35" s="32" t="s">
        <v>933</v>
      </c>
      <c r="E35" s="33" t="s">
        <v>934</v>
      </c>
      <c r="F35" s="33" t="s">
        <v>935</v>
      </c>
      <c r="G35" s="34">
        <v>3.910208786666665</v>
      </c>
      <c r="H35" s="34">
        <v>1.3583535086666665</v>
      </c>
      <c r="I35" s="32" t="s">
        <v>928</v>
      </c>
      <c r="J35" s="34">
        <v>3.910208786666665</v>
      </c>
      <c r="K35" s="34">
        <v>1.3583535086666665</v>
      </c>
      <c r="L35" s="35" t="s">
        <v>912</v>
      </c>
    </row>
    <row r="36" spans="2:12" ht="15" customHeight="1" x14ac:dyDescent="0.35">
      <c r="B36" s="28" t="s">
        <v>35</v>
      </c>
      <c r="C36" s="1" t="s">
        <v>932</v>
      </c>
      <c r="D36" s="1" t="s">
        <v>933</v>
      </c>
      <c r="E36" s="6" t="s">
        <v>934</v>
      </c>
      <c r="F36" s="6" t="s">
        <v>936</v>
      </c>
      <c r="G36" s="36">
        <v>3.9169326250000012</v>
      </c>
      <c r="H36" s="36">
        <v>3.5082833330000005</v>
      </c>
      <c r="I36" s="1" t="s">
        <v>928</v>
      </c>
      <c r="J36" s="36">
        <v>3.9169326250000012</v>
      </c>
      <c r="K36" s="36">
        <v>3.5082833330000005</v>
      </c>
      <c r="L36" s="53" t="s">
        <v>929</v>
      </c>
    </row>
    <row r="37" spans="2:12" ht="15" customHeight="1" thickBot="1" x14ac:dyDescent="0.4">
      <c r="B37" s="29" t="s">
        <v>35</v>
      </c>
      <c r="C37" s="39" t="s">
        <v>932</v>
      </c>
      <c r="D37" s="39" t="s">
        <v>933</v>
      </c>
      <c r="E37" s="40" t="s">
        <v>934</v>
      </c>
      <c r="F37" s="40" t="s">
        <v>937</v>
      </c>
      <c r="G37" s="41">
        <v>3.0499999999999972</v>
      </c>
      <c r="H37" s="41">
        <v>1.5</v>
      </c>
      <c r="I37" s="39" t="s">
        <v>938</v>
      </c>
      <c r="J37" s="41">
        <v>3.0499999999999972</v>
      </c>
      <c r="K37" s="41">
        <v>1.5</v>
      </c>
      <c r="L37" s="54" t="s">
        <v>912</v>
      </c>
    </row>
    <row r="38" spans="2:12" ht="15" customHeight="1" x14ac:dyDescent="0.35">
      <c r="D38" s="4" t="s">
        <v>1583</v>
      </c>
      <c r="E38" s="6" t="s">
        <v>1581</v>
      </c>
      <c r="G38" s="36">
        <f>AVERAGE(G35:G37)</f>
        <v>3.6257138038888876</v>
      </c>
      <c r="H38" s="36">
        <f>AVERAGE(H35:H37)</f>
        <v>2.1222122805555554</v>
      </c>
      <c r="L38" s="43" t="s">
        <v>929</v>
      </c>
    </row>
    <row r="39" spans="2:12" ht="15" customHeight="1" x14ac:dyDescent="0.35">
      <c r="D39" s="4" t="s">
        <v>1583</v>
      </c>
      <c r="E39" s="6" t="s">
        <v>1582</v>
      </c>
      <c r="G39" s="36"/>
      <c r="H39" s="36"/>
      <c r="L39" s="43" t="s">
        <v>929</v>
      </c>
    </row>
    <row r="40" spans="2:12" ht="15" customHeight="1" x14ac:dyDescent="0.35">
      <c r="D40" s="4" t="s">
        <v>939</v>
      </c>
    </row>
    <row r="41" spans="2:12" ht="15" customHeight="1" thickBot="1" x14ac:dyDescent="0.4"/>
    <row r="42" spans="2:12" ht="15" customHeight="1" x14ac:dyDescent="0.35">
      <c r="B42" s="30" t="s">
        <v>38</v>
      </c>
      <c r="C42" s="32" t="s">
        <v>940</v>
      </c>
      <c r="D42" s="32" t="s">
        <v>941</v>
      </c>
      <c r="E42" s="33" t="s">
        <v>942</v>
      </c>
      <c r="F42" s="33" t="s">
        <v>943</v>
      </c>
      <c r="G42" s="34">
        <v>6.8830496082953339</v>
      </c>
      <c r="H42" s="34">
        <v>1.3651980505066661</v>
      </c>
      <c r="I42" s="32" t="s">
        <v>944</v>
      </c>
      <c r="J42" s="34">
        <v>6.8830496082953339</v>
      </c>
      <c r="K42" s="34">
        <v>1.3651980505066661</v>
      </c>
      <c r="L42" s="35" t="s">
        <v>912</v>
      </c>
    </row>
    <row r="43" spans="2:12" ht="15" customHeight="1" x14ac:dyDescent="0.35">
      <c r="B43" s="28" t="s">
        <v>38</v>
      </c>
      <c r="C43" s="1" t="s">
        <v>39</v>
      </c>
      <c r="D43" s="1" t="s">
        <v>945</v>
      </c>
      <c r="E43" s="6" t="s">
        <v>946</v>
      </c>
      <c r="F43" s="6" t="s">
        <v>947</v>
      </c>
      <c r="G43" s="36">
        <v>7.0377758975148907</v>
      </c>
      <c r="H43" s="36">
        <v>3.6974672590929831</v>
      </c>
      <c r="I43" s="1" t="s">
        <v>923</v>
      </c>
      <c r="J43" s="36">
        <v>7.0377758975148907</v>
      </c>
      <c r="K43" s="36">
        <v>3.6974672590929831</v>
      </c>
      <c r="L43" s="55" t="s">
        <v>948</v>
      </c>
    </row>
    <row r="44" spans="2:12" ht="15" customHeight="1" x14ac:dyDescent="0.35">
      <c r="B44" s="28" t="s">
        <v>38</v>
      </c>
      <c r="C44" s="1" t="s">
        <v>949</v>
      </c>
      <c r="D44" s="1" t="s">
        <v>950</v>
      </c>
      <c r="E44" s="6" t="s">
        <v>951</v>
      </c>
      <c r="F44" s="6" t="s">
        <v>952</v>
      </c>
      <c r="G44" s="36">
        <v>6.4004846306190117</v>
      </c>
      <c r="H44" s="36">
        <v>1.0293654404399986</v>
      </c>
      <c r="I44" s="1" t="s">
        <v>953</v>
      </c>
      <c r="J44" s="36">
        <v>6.4004846306190117</v>
      </c>
      <c r="K44" s="36">
        <v>1.0293654404399986</v>
      </c>
      <c r="L44" s="56" t="s">
        <v>912</v>
      </c>
    </row>
    <row r="45" spans="2:12" ht="15" customHeight="1" x14ac:dyDescent="0.35">
      <c r="B45" s="28" t="s">
        <v>38</v>
      </c>
      <c r="C45" s="1" t="s">
        <v>949</v>
      </c>
      <c r="D45" s="1" t="s">
        <v>950</v>
      </c>
      <c r="E45" s="6" t="s">
        <v>954</v>
      </c>
      <c r="F45" s="6" t="s">
        <v>955</v>
      </c>
      <c r="G45" s="36">
        <v>5.9470496082953339</v>
      </c>
      <c r="H45" s="36">
        <v>2.8181980505066657</v>
      </c>
      <c r="I45" s="1" t="s">
        <v>911</v>
      </c>
      <c r="J45" s="36">
        <v>5.9470496082953339</v>
      </c>
      <c r="K45" s="36">
        <v>2.8181980505066657</v>
      </c>
      <c r="L45" s="53" t="s">
        <v>929</v>
      </c>
    </row>
    <row r="46" spans="2:12" ht="15" customHeight="1" x14ac:dyDescent="0.35">
      <c r="B46" s="28" t="s">
        <v>38</v>
      </c>
      <c r="C46" s="1" t="s">
        <v>39</v>
      </c>
      <c r="D46" s="1" t="s">
        <v>945</v>
      </c>
      <c r="E46" s="6" t="s">
        <v>956</v>
      </c>
      <c r="F46" s="6" t="s">
        <v>957</v>
      </c>
      <c r="G46" s="36">
        <v>6.312419762120097</v>
      </c>
      <c r="H46" s="36">
        <v>3.7999803439999997</v>
      </c>
      <c r="I46" s="1" t="s">
        <v>924</v>
      </c>
      <c r="J46" s="36">
        <v>6.312419762120097</v>
      </c>
      <c r="K46" s="36">
        <v>3.7999803439999997</v>
      </c>
      <c r="L46" s="53" t="s">
        <v>929</v>
      </c>
    </row>
    <row r="47" spans="2:12" ht="15" customHeight="1" x14ac:dyDescent="0.35">
      <c r="B47" s="28" t="s">
        <v>38</v>
      </c>
      <c r="C47" s="1" t="s">
        <v>39</v>
      </c>
      <c r="D47" s="1" t="s">
        <v>945</v>
      </c>
      <c r="E47" s="6" t="s">
        <v>956</v>
      </c>
      <c r="F47" s="6" t="s">
        <v>958</v>
      </c>
      <c r="G47" s="36">
        <v>7.0846287274449011</v>
      </c>
      <c r="H47" s="36">
        <v>3.00341066871857</v>
      </c>
      <c r="I47" s="1" t="s">
        <v>923</v>
      </c>
      <c r="J47" s="36">
        <v>7.0846287274449011</v>
      </c>
      <c r="K47" s="36">
        <v>3.00341066871857</v>
      </c>
      <c r="L47" s="55" t="s">
        <v>948</v>
      </c>
    </row>
    <row r="48" spans="2:12" ht="15" customHeight="1" x14ac:dyDescent="0.35">
      <c r="B48" s="28" t="s">
        <v>38</v>
      </c>
      <c r="C48" s="1" t="s">
        <v>39</v>
      </c>
      <c r="D48" s="1" t="s">
        <v>945</v>
      </c>
      <c r="E48" s="6" t="s">
        <v>956</v>
      </c>
      <c r="F48" s="6" t="s">
        <v>959</v>
      </c>
      <c r="G48" s="36">
        <v>6.7933367563923106</v>
      </c>
      <c r="H48" s="36">
        <v>-4.7</v>
      </c>
      <c r="I48" s="1" t="s">
        <v>913</v>
      </c>
      <c r="J48" s="36">
        <v>6.7933367563923106</v>
      </c>
      <c r="K48" s="36">
        <v>-4.7</v>
      </c>
      <c r="L48" s="57" t="s">
        <v>960</v>
      </c>
    </row>
    <row r="49" spans="2:12" ht="15" customHeight="1" x14ac:dyDescent="0.35">
      <c r="B49" s="28" t="s">
        <v>38</v>
      </c>
      <c r="C49" s="1" t="s">
        <v>39</v>
      </c>
      <c r="D49" s="1" t="s">
        <v>945</v>
      </c>
      <c r="E49" s="6" t="s">
        <v>956</v>
      </c>
      <c r="F49" s="6" t="s">
        <v>961</v>
      </c>
      <c r="G49" s="36">
        <v>8.8009197621200919</v>
      </c>
      <c r="H49" s="36">
        <v>2.8209803440000001</v>
      </c>
      <c r="I49" s="1" t="s">
        <v>924</v>
      </c>
      <c r="J49" s="36">
        <v>8.8009197621200919</v>
      </c>
      <c r="K49" s="36">
        <v>2.8209803440000001</v>
      </c>
      <c r="L49" s="55" t="s">
        <v>948</v>
      </c>
    </row>
    <row r="50" spans="2:12" ht="15" customHeight="1" x14ac:dyDescent="0.35">
      <c r="B50" s="28" t="s">
        <v>38</v>
      </c>
      <c r="C50" s="1" t="s">
        <v>39</v>
      </c>
      <c r="D50" s="1" t="s">
        <v>945</v>
      </c>
      <c r="E50" s="6" t="s">
        <v>956</v>
      </c>
      <c r="F50" s="6" t="s">
        <v>962</v>
      </c>
      <c r="G50" s="36">
        <v>5.0699626575385146</v>
      </c>
      <c r="H50" s="36">
        <v>-1.4283333333333332</v>
      </c>
      <c r="I50" s="1" t="s">
        <v>913</v>
      </c>
      <c r="J50" s="36">
        <v>5.0699626575385146</v>
      </c>
      <c r="K50" s="36">
        <v>-1.4283333333333332</v>
      </c>
      <c r="L50" s="56" t="s">
        <v>912</v>
      </c>
    </row>
    <row r="51" spans="2:12" ht="15" customHeight="1" x14ac:dyDescent="0.35">
      <c r="B51" s="28" t="s">
        <v>38</v>
      </c>
      <c r="C51" s="1" t="s">
        <v>39</v>
      </c>
      <c r="D51" s="1" t="s">
        <v>945</v>
      </c>
      <c r="E51" s="6" t="s">
        <v>956</v>
      </c>
      <c r="F51" s="6" t="s">
        <v>963</v>
      </c>
      <c r="G51" s="36">
        <v>8.7872335760349536</v>
      </c>
      <c r="H51" s="36">
        <v>1.9882000000000002</v>
      </c>
      <c r="I51" s="1" t="s">
        <v>964</v>
      </c>
      <c r="J51" s="36">
        <v>8.6030917273420719</v>
      </c>
      <c r="K51" s="36">
        <v>2.3222291666666672</v>
      </c>
      <c r="L51" s="55" t="s">
        <v>948</v>
      </c>
    </row>
    <row r="52" spans="2:12" ht="15" customHeight="1" x14ac:dyDescent="0.35">
      <c r="B52" s="28" t="s">
        <v>38</v>
      </c>
      <c r="C52" s="1" t="s">
        <v>39</v>
      </c>
      <c r="D52" s="1" t="s">
        <v>945</v>
      </c>
      <c r="E52" s="6" t="s">
        <v>956</v>
      </c>
      <c r="F52" s="6" t="s">
        <v>963</v>
      </c>
      <c r="G52" s="36">
        <v>8.8949999999999996</v>
      </c>
      <c r="H52" s="36">
        <v>3.8415000000000004</v>
      </c>
      <c r="I52" s="1" t="s">
        <v>965</v>
      </c>
      <c r="J52" s="36"/>
      <c r="K52" s="36"/>
      <c r="L52" s="37"/>
    </row>
    <row r="53" spans="2:12" ht="15" customHeight="1" x14ac:dyDescent="0.35">
      <c r="B53" s="28" t="s">
        <v>38</v>
      </c>
      <c r="C53" s="1" t="s">
        <v>39</v>
      </c>
      <c r="D53" s="1" t="s">
        <v>945</v>
      </c>
      <c r="E53" s="6" t="s">
        <v>956</v>
      </c>
      <c r="F53" s="6" t="s">
        <v>963</v>
      </c>
      <c r="G53" s="36">
        <v>8.4660000000000011</v>
      </c>
      <c r="H53" s="36">
        <v>2.0132000000000003</v>
      </c>
      <c r="I53" s="1" t="s">
        <v>966</v>
      </c>
      <c r="J53" s="36"/>
      <c r="K53" s="36"/>
      <c r="L53" s="37"/>
    </row>
    <row r="54" spans="2:12" ht="15" customHeight="1" x14ac:dyDescent="0.35">
      <c r="B54" s="28" t="s">
        <v>38</v>
      </c>
      <c r="C54" s="1" t="s">
        <v>39</v>
      </c>
      <c r="D54" s="1" t="s">
        <v>945</v>
      </c>
      <c r="E54" s="6" t="s">
        <v>956</v>
      </c>
      <c r="F54" s="6" t="s">
        <v>963</v>
      </c>
      <c r="G54" s="36">
        <v>8.26413333333333</v>
      </c>
      <c r="H54" s="36">
        <v>1.4460166666666669</v>
      </c>
      <c r="I54" s="1" t="s">
        <v>921</v>
      </c>
      <c r="J54" s="36"/>
      <c r="K54" s="36"/>
      <c r="L54" s="37"/>
    </row>
    <row r="55" spans="2:12" ht="15" customHeight="1" x14ac:dyDescent="0.35">
      <c r="B55" s="28" t="s">
        <v>38</v>
      </c>
      <c r="C55" s="1" t="s">
        <v>949</v>
      </c>
      <c r="D55" s="1" t="s">
        <v>967</v>
      </c>
      <c r="E55" s="6" t="s">
        <v>968</v>
      </c>
      <c r="F55" s="6" t="s">
        <v>969</v>
      </c>
      <c r="G55" s="36">
        <v>6.6130496082953307</v>
      </c>
      <c r="H55" s="36">
        <v>0.7351980505066662</v>
      </c>
      <c r="I55" s="1" t="s">
        <v>944</v>
      </c>
      <c r="J55" s="36">
        <v>5.5074156312049816</v>
      </c>
      <c r="K55" s="36">
        <v>2.5589184391135498</v>
      </c>
      <c r="L55" s="53" t="s">
        <v>929</v>
      </c>
    </row>
    <row r="56" spans="2:12" ht="15" customHeight="1" x14ac:dyDescent="0.35">
      <c r="B56" s="28" t="s">
        <v>38</v>
      </c>
      <c r="C56" s="1" t="s">
        <v>949</v>
      </c>
      <c r="D56" s="1" t="s">
        <v>967</v>
      </c>
      <c r="E56" s="6" t="s">
        <v>968</v>
      </c>
      <c r="F56" s="6" t="s">
        <v>969</v>
      </c>
      <c r="G56" s="36">
        <v>4.4017816541146333</v>
      </c>
      <c r="H56" s="36">
        <v>4.3826388277204336</v>
      </c>
      <c r="I56" s="1" t="s">
        <v>923</v>
      </c>
      <c r="J56" s="36"/>
      <c r="K56" s="36"/>
      <c r="L56" s="37"/>
    </row>
    <row r="57" spans="2:12" ht="15" customHeight="1" x14ac:dyDescent="0.35">
      <c r="B57" s="28" t="s">
        <v>38</v>
      </c>
      <c r="C57" s="1" t="s">
        <v>949</v>
      </c>
      <c r="D57" s="1" t="s">
        <v>967</v>
      </c>
      <c r="E57" s="6" t="s">
        <v>968</v>
      </c>
      <c r="F57" s="6" t="s">
        <v>970</v>
      </c>
      <c r="G57" s="36">
        <v>5.7385056282842228</v>
      </c>
      <c r="H57" s="36">
        <v>3.4399539455066668</v>
      </c>
      <c r="I57" s="1" t="s">
        <v>924</v>
      </c>
      <c r="J57" s="36">
        <v>6.0503801067802598</v>
      </c>
      <c r="K57" s="36">
        <v>2.3467173320044439</v>
      </c>
      <c r="L57" s="53" t="s">
        <v>929</v>
      </c>
    </row>
    <row r="58" spans="2:12" ht="15" customHeight="1" x14ac:dyDescent="0.35">
      <c r="B58" s="28" t="s">
        <v>38</v>
      </c>
      <c r="C58" s="1" t="s">
        <v>949</v>
      </c>
      <c r="D58" s="1" t="s">
        <v>967</v>
      </c>
      <c r="E58" s="6" t="s">
        <v>968</v>
      </c>
      <c r="F58" s="6" t="s">
        <v>970</v>
      </c>
      <c r="G58" s="36">
        <v>6.3030496082953338</v>
      </c>
      <c r="H58" s="36">
        <v>3.8021980505066657</v>
      </c>
      <c r="I58" s="1" t="s">
        <v>911</v>
      </c>
      <c r="J58" s="36"/>
      <c r="K58" s="36"/>
      <c r="L58" s="37"/>
    </row>
    <row r="59" spans="2:12" ht="15" customHeight="1" x14ac:dyDescent="0.35">
      <c r="B59" s="28" t="s">
        <v>38</v>
      </c>
      <c r="C59" s="1" t="s">
        <v>949</v>
      </c>
      <c r="D59" s="1" t="s">
        <v>967</v>
      </c>
      <c r="E59" s="6" t="s">
        <v>968</v>
      </c>
      <c r="F59" s="6" t="s">
        <v>970</v>
      </c>
      <c r="G59" s="36">
        <v>6.1095850837612211</v>
      </c>
      <c r="H59" s="36">
        <v>-0.20199999999999999</v>
      </c>
      <c r="I59" s="1" t="s">
        <v>913</v>
      </c>
      <c r="J59" s="36"/>
      <c r="K59" s="36"/>
      <c r="L59" s="37"/>
    </row>
    <row r="60" spans="2:12" ht="15" customHeight="1" x14ac:dyDescent="0.35">
      <c r="B60" s="28" t="s">
        <v>38</v>
      </c>
      <c r="C60" s="1" t="s">
        <v>39</v>
      </c>
      <c r="D60" s="1" t="s">
        <v>945</v>
      </c>
      <c r="E60" s="6" t="s">
        <v>971</v>
      </c>
      <c r="F60" s="6" t="s">
        <v>972</v>
      </c>
      <c r="G60" s="36">
        <v>3.4378107359839198</v>
      </c>
      <c r="H60" s="36">
        <v>4.2885690611111107</v>
      </c>
      <c r="I60" s="1" t="s">
        <v>973</v>
      </c>
      <c r="J60" s="36">
        <v>3.4378107359839198</v>
      </c>
      <c r="K60" s="36">
        <v>4.2885690611111107</v>
      </c>
      <c r="L60" s="53" t="s">
        <v>929</v>
      </c>
    </row>
    <row r="61" spans="2:12" ht="15" customHeight="1" x14ac:dyDescent="0.35">
      <c r="B61" s="28" t="s">
        <v>38</v>
      </c>
      <c r="C61" s="1" t="s">
        <v>39</v>
      </c>
      <c r="D61" s="1" t="s">
        <v>945</v>
      </c>
      <c r="E61" s="6" t="s">
        <v>971</v>
      </c>
      <c r="F61" s="6" t="s">
        <v>974</v>
      </c>
      <c r="G61" s="36">
        <v>7.7588071013319961</v>
      </c>
      <c r="H61" s="36">
        <v>1.3085985518600003</v>
      </c>
      <c r="I61" s="1" t="s">
        <v>975</v>
      </c>
      <c r="J61" s="36">
        <v>7.3784617239693109</v>
      </c>
      <c r="K61" s="36">
        <v>0.76246739751715498</v>
      </c>
      <c r="L61" s="55" t="s">
        <v>948</v>
      </c>
    </row>
    <row r="62" spans="2:12" ht="15" customHeight="1" x14ac:dyDescent="0.35">
      <c r="B62" s="28" t="s">
        <v>38</v>
      </c>
      <c r="C62" s="1" t="s">
        <v>39</v>
      </c>
      <c r="D62" s="1" t="s">
        <v>945</v>
      </c>
      <c r="E62" s="6" t="s">
        <v>971</v>
      </c>
      <c r="F62" s="6" t="s">
        <v>974</v>
      </c>
      <c r="G62" s="36">
        <v>6.9170634405072953</v>
      </c>
      <c r="H62" s="36">
        <v>-0.94289247735042703</v>
      </c>
      <c r="I62" s="1" t="s">
        <v>973</v>
      </c>
      <c r="J62" s="36"/>
      <c r="K62" s="36"/>
      <c r="L62" s="37"/>
    </row>
    <row r="63" spans="2:12" ht="15" customHeight="1" x14ac:dyDescent="0.35">
      <c r="B63" s="28" t="s">
        <v>38</v>
      </c>
      <c r="C63" s="1" t="s">
        <v>39</v>
      </c>
      <c r="D63" s="1" t="s">
        <v>945</v>
      </c>
      <c r="E63" s="6" t="s">
        <v>971</v>
      </c>
      <c r="F63" s="6" t="s">
        <v>974</v>
      </c>
      <c r="G63" s="36">
        <v>8.2588071013319961</v>
      </c>
      <c r="H63" s="36">
        <v>2.3085985518600003</v>
      </c>
      <c r="I63" s="1" t="s">
        <v>924</v>
      </c>
      <c r="J63" s="36"/>
      <c r="K63" s="36"/>
      <c r="L63" s="37"/>
    </row>
    <row r="64" spans="2:12" ht="15" customHeight="1" x14ac:dyDescent="0.35">
      <c r="B64" s="28" t="s">
        <v>38</v>
      </c>
      <c r="C64" s="1" t="s">
        <v>39</v>
      </c>
      <c r="D64" s="1" t="s">
        <v>945</v>
      </c>
      <c r="E64" s="6" t="s">
        <v>971</v>
      </c>
      <c r="F64" s="6" t="s">
        <v>974</v>
      </c>
      <c r="G64" s="36">
        <v>7.2067381496518976</v>
      </c>
      <c r="H64" s="36">
        <v>0.25005243907717789</v>
      </c>
      <c r="I64" s="1" t="s">
        <v>925</v>
      </c>
      <c r="J64" s="36"/>
      <c r="K64" s="36"/>
      <c r="L64" s="37"/>
    </row>
    <row r="65" spans="2:12" ht="15" customHeight="1" x14ac:dyDescent="0.35">
      <c r="B65" s="28" t="s">
        <v>38</v>
      </c>
      <c r="C65" s="1" t="s">
        <v>39</v>
      </c>
      <c r="D65" s="1" t="s">
        <v>945</v>
      </c>
      <c r="E65" s="6" t="s">
        <v>971</v>
      </c>
      <c r="F65" s="6" t="s">
        <v>974</v>
      </c>
      <c r="G65" s="36">
        <v>7.716049608295334</v>
      </c>
      <c r="H65" s="36">
        <v>-0.28180194949333415</v>
      </c>
      <c r="I65" s="1" t="s">
        <v>911</v>
      </c>
      <c r="J65" s="36"/>
      <c r="K65" s="36"/>
      <c r="L65" s="37"/>
    </row>
    <row r="66" spans="2:12" ht="15" customHeight="1" x14ac:dyDescent="0.35">
      <c r="B66" s="28" t="s">
        <v>38</v>
      </c>
      <c r="C66" s="1" t="s">
        <v>39</v>
      </c>
      <c r="D66" s="1" t="s">
        <v>945</v>
      </c>
      <c r="E66" s="6" t="s">
        <v>971</v>
      </c>
      <c r="F66" s="6" t="s">
        <v>974</v>
      </c>
      <c r="G66" s="36">
        <v>6.0073000000000008</v>
      </c>
      <c r="H66" s="36">
        <v>0.55670000000000019</v>
      </c>
      <c r="I66" s="1" t="s">
        <v>966</v>
      </c>
      <c r="J66" s="36"/>
      <c r="K66" s="36"/>
      <c r="L66" s="37"/>
    </row>
    <row r="67" spans="2:12" ht="15" customHeight="1" x14ac:dyDescent="0.35">
      <c r="B67" s="28" t="s">
        <v>38</v>
      </c>
      <c r="C67" s="1" t="s">
        <v>39</v>
      </c>
      <c r="D67" s="1" t="s">
        <v>945</v>
      </c>
      <c r="E67" s="6" t="s">
        <v>971</v>
      </c>
      <c r="F67" s="6" t="s">
        <v>974</v>
      </c>
      <c r="G67" s="36">
        <v>7.7844666666666633</v>
      </c>
      <c r="H67" s="36">
        <v>2.1380166666666671</v>
      </c>
      <c r="I67" s="1" t="s">
        <v>921</v>
      </c>
      <c r="J67" s="36"/>
      <c r="K67" s="36"/>
      <c r="L67" s="37"/>
    </row>
    <row r="68" spans="2:12" ht="15" customHeight="1" x14ac:dyDescent="0.35">
      <c r="B68" s="28" t="s">
        <v>38</v>
      </c>
      <c r="C68" s="1" t="s">
        <v>39</v>
      </c>
      <c r="D68" s="1" t="s">
        <v>945</v>
      </c>
      <c r="E68" s="6" t="s">
        <v>971</v>
      </c>
      <c r="F68" s="6" t="s">
        <v>976</v>
      </c>
      <c r="G68" s="36">
        <v>7.5136700663579639</v>
      </c>
      <c r="H68" s="36">
        <v>6.860235727777777</v>
      </c>
      <c r="I68" s="1" t="s">
        <v>973</v>
      </c>
      <c r="J68" s="36">
        <v>7.5136700663579639</v>
      </c>
      <c r="K68" s="36">
        <v>6.860235727777777</v>
      </c>
      <c r="L68" s="55" t="s">
        <v>948</v>
      </c>
    </row>
    <row r="69" spans="2:12" ht="15" customHeight="1" x14ac:dyDescent="0.35">
      <c r="B69" s="28" t="s">
        <v>38</v>
      </c>
      <c r="C69" s="1" t="s">
        <v>39</v>
      </c>
      <c r="D69" s="1" t="s">
        <v>945</v>
      </c>
      <c r="E69" s="6" t="s">
        <v>971</v>
      </c>
      <c r="F69" s="6" t="s">
        <v>977</v>
      </c>
      <c r="G69" s="36">
        <v>6.7370496082953331</v>
      </c>
      <c r="H69" s="36">
        <v>1.8741980505066658</v>
      </c>
      <c r="I69" s="1" t="s">
        <v>911</v>
      </c>
      <c r="J69" s="36">
        <v>5.902006677494489</v>
      </c>
      <c r="K69" s="36">
        <v>-0.17690097474666722</v>
      </c>
      <c r="L69" s="56" t="s">
        <v>912</v>
      </c>
    </row>
    <row r="70" spans="2:12" ht="15" customHeight="1" x14ac:dyDescent="0.35">
      <c r="B70" s="28" t="s">
        <v>38</v>
      </c>
      <c r="C70" s="1" t="s">
        <v>39</v>
      </c>
      <c r="D70" s="1" t="s">
        <v>945</v>
      </c>
      <c r="E70" s="6" t="s">
        <v>971</v>
      </c>
      <c r="F70" s="6" t="s">
        <v>977</v>
      </c>
      <c r="G70" s="36">
        <v>5.066963746693645</v>
      </c>
      <c r="H70" s="36">
        <v>-2.2280000000000002</v>
      </c>
      <c r="I70" s="1" t="s">
        <v>913</v>
      </c>
      <c r="J70" s="36"/>
      <c r="K70" s="36"/>
      <c r="L70" s="37"/>
    </row>
    <row r="71" spans="2:12" ht="15" customHeight="1" x14ac:dyDescent="0.35">
      <c r="B71" s="28" t="s">
        <v>38</v>
      </c>
      <c r="C71" s="1" t="s">
        <v>39</v>
      </c>
      <c r="D71" s="1" t="s">
        <v>945</v>
      </c>
      <c r="E71" s="6" t="s">
        <v>971</v>
      </c>
      <c r="F71" s="6" t="s">
        <v>978</v>
      </c>
      <c r="G71" s="36">
        <v>7.5097179543240919</v>
      </c>
      <c r="H71" s="36">
        <v>4.472256454747443</v>
      </c>
      <c r="I71" s="1" t="s">
        <v>923</v>
      </c>
      <c r="J71" s="36">
        <v>6.9099629249135459</v>
      </c>
      <c r="K71" s="36">
        <v>3.4010176633675315</v>
      </c>
      <c r="L71" s="53" t="s">
        <v>929</v>
      </c>
    </row>
    <row r="72" spans="2:12" ht="15" customHeight="1" x14ac:dyDescent="0.35">
      <c r="B72" s="28" t="s">
        <v>979</v>
      </c>
      <c r="C72" s="1" t="s">
        <v>39</v>
      </c>
      <c r="D72" s="1" t="s">
        <v>945</v>
      </c>
      <c r="E72" s="6" t="s">
        <v>971</v>
      </c>
      <c r="F72" s="6" t="s">
        <v>978</v>
      </c>
      <c r="G72" s="36">
        <v>6.1510496082953328</v>
      </c>
      <c r="H72" s="36">
        <v>3.154198050506666</v>
      </c>
      <c r="I72" s="1" t="s">
        <v>911</v>
      </c>
      <c r="J72" s="31"/>
      <c r="K72" s="31"/>
      <c r="L72" s="37"/>
    </row>
    <row r="73" spans="2:12" ht="15" customHeight="1" thickBot="1" x14ac:dyDescent="0.4">
      <c r="B73" s="29" t="s">
        <v>38</v>
      </c>
      <c r="C73" s="39" t="s">
        <v>39</v>
      </c>
      <c r="D73" s="39" t="s">
        <v>945</v>
      </c>
      <c r="E73" s="40" t="s">
        <v>980</v>
      </c>
      <c r="F73" s="40" t="s">
        <v>978</v>
      </c>
      <c r="G73" s="41">
        <v>7.0691212121212139</v>
      </c>
      <c r="H73" s="41">
        <v>2.5765984848484855</v>
      </c>
      <c r="I73" s="39" t="s">
        <v>921</v>
      </c>
      <c r="J73" s="41"/>
      <c r="K73" s="41"/>
      <c r="L73" s="51"/>
    </row>
    <row r="74" spans="2:12" ht="15" customHeight="1" x14ac:dyDescent="0.35">
      <c r="B74" s="4" t="s">
        <v>37</v>
      </c>
      <c r="C74" s="1" t="s">
        <v>1640</v>
      </c>
      <c r="D74" s="1" t="s">
        <v>1585</v>
      </c>
      <c r="E74" s="6" t="s">
        <v>1584</v>
      </c>
      <c r="G74" s="36">
        <f>AVERAGE(G42:G73)</f>
        <v>6.84508065319738</v>
      </c>
      <c r="H74" s="36">
        <f>AVERAGE(H42:H73)</f>
        <v>1.8808906242799028</v>
      </c>
      <c r="L74" s="52" t="s">
        <v>912</v>
      </c>
    </row>
    <row r="75" spans="2:12" ht="15" customHeight="1" x14ac:dyDescent="0.35">
      <c r="B75" s="4" t="s">
        <v>981</v>
      </c>
    </row>
    <row r="76" spans="2:12" ht="15" customHeight="1" thickBot="1" x14ac:dyDescent="0.4"/>
    <row r="77" spans="2:12" ht="15" customHeight="1" thickBot="1" x14ac:dyDescent="0.4">
      <c r="B77" s="44" t="s">
        <v>38</v>
      </c>
      <c r="C77" s="45" t="s">
        <v>940</v>
      </c>
      <c r="D77" s="45" t="s">
        <v>941</v>
      </c>
      <c r="E77" s="46" t="s">
        <v>942</v>
      </c>
      <c r="F77" s="46" t="s">
        <v>943</v>
      </c>
      <c r="G77" s="47">
        <v>6.8830496082953339</v>
      </c>
      <c r="H77" s="47">
        <v>1.3651980505066661</v>
      </c>
      <c r="I77" s="45" t="s">
        <v>944</v>
      </c>
      <c r="J77" s="47">
        <v>6.8830496082953339</v>
      </c>
      <c r="K77" s="47">
        <v>1.3651980505066661</v>
      </c>
      <c r="L77" s="58" t="s">
        <v>912</v>
      </c>
    </row>
    <row r="78" spans="2:12" ht="15" customHeight="1" x14ac:dyDescent="0.35">
      <c r="E78" s="5" t="s">
        <v>1586</v>
      </c>
      <c r="G78" s="36">
        <f>AVERAGE(G77)</f>
        <v>6.8830496082953339</v>
      </c>
      <c r="H78" s="36">
        <f>AVERAGE(H77)</f>
        <v>1.3651980505066661</v>
      </c>
      <c r="L78" s="52" t="s">
        <v>912</v>
      </c>
    </row>
    <row r="79" spans="2:12" ht="15" customHeight="1" thickBot="1" x14ac:dyDescent="0.4"/>
    <row r="80" spans="2:12" ht="15" customHeight="1" thickBot="1" x14ac:dyDescent="0.4">
      <c r="B80" s="44" t="s">
        <v>38</v>
      </c>
      <c r="C80" s="45" t="s">
        <v>949</v>
      </c>
      <c r="D80" s="45" t="s">
        <v>950</v>
      </c>
      <c r="E80" s="46" t="s">
        <v>954</v>
      </c>
      <c r="F80" s="46" t="s">
        <v>955</v>
      </c>
      <c r="G80" s="47">
        <v>5.9470496082953339</v>
      </c>
      <c r="H80" s="47">
        <v>2.8181980505066657</v>
      </c>
      <c r="I80" s="45" t="s">
        <v>911</v>
      </c>
      <c r="J80" s="47">
        <v>5.9470496082953339</v>
      </c>
      <c r="K80" s="47">
        <v>2.8181980505066657</v>
      </c>
      <c r="L80" s="59" t="s">
        <v>929</v>
      </c>
    </row>
    <row r="81" spans="2:12" ht="15" customHeight="1" x14ac:dyDescent="0.35">
      <c r="E81" s="5" t="s">
        <v>1588</v>
      </c>
      <c r="G81" s="36">
        <f>AVERAGE(G80)</f>
        <v>5.9470496082953339</v>
      </c>
      <c r="H81" s="36">
        <f>AVERAGE(H80)</f>
        <v>2.8181980505066657</v>
      </c>
      <c r="L81" s="43" t="s">
        <v>929</v>
      </c>
    </row>
    <row r="82" spans="2:12" ht="15" customHeight="1" thickBot="1" x14ac:dyDescent="0.4"/>
    <row r="83" spans="2:12" ht="15" customHeight="1" x14ac:dyDescent="0.35">
      <c r="B83" s="30" t="s">
        <v>38</v>
      </c>
      <c r="C83" s="32" t="s">
        <v>949</v>
      </c>
      <c r="D83" s="32" t="s">
        <v>967</v>
      </c>
      <c r="E83" s="33" t="s">
        <v>968</v>
      </c>
      <c r="F83" s="33" t="s">
        <v>969</v>
      </c>
      <c r="G83" s="34">
        <v>6.6130496082953307</v>
      </c>
      <c r="H83" s="34">
        <v>0.7351980505066662</v>
      </c>
      <c r="I83" s="32" t="s">
        <v>944</v>
      </c>
      <c r="J83" s="34">
        <f>AVERAGE(G83,G84)</f>
        <v>5.5074156312049816</v>
      </c>
      <c r="K83" s="34">
        <f>AVERAGE(H83,H84)</f>
        <v>2.5589184391135498</v>
      </c>
      <c r="L83" s="60" t="s">
        <v>929</v>
      </c>
    </row>
    <row r="84" spans="2:12" ht="15" customHeight="1" x14ac:dyDescent="0.35">
      <c r="B84" s="28" t="s">
        <v>38</v>
      </c>
      <c r="C84" s="1" t="s">
        <v>949</v>
      </c>
      <c r="D84" s="1" t="s">
        <v>967</v>
      </c>
      <c r="E84" s="6" t="s">
        <v>968</v>
      </c>
      <c r="F84" s="6" t="s">
        <v>969</v>
      </c>
      <c r="G84" s="36">
        <v>4.4017816541146333</v>
      </c>
      <c r="H84" s="36">
        <v>4.3826388277204336</v>
      </c>
      <c r="I84" s="1" t="s">
        <v>923</v>
      </c>
      <c r="J84" s="36"/>
      <c r="K84" s="36"/>
      <c r="L84" s="37"/>
    </row>
    <row r="85" spans="2:12" ht="15" customHeight="1" x14ac:dyDescent="0.35">
      <c r="B85" s="28" t="s">
        <v>38</v>
      </c>
      <c r="C85" s="1" t="s">
        <v>949</v>
      </c>
      <c r="D85" s="1" t="s">
        <v>967</v>
      </c>
      <c r="E85" s="6" t="s">
        <v>968</v>
      </c>
      <c r="F85" s="6" t="s">
        <v>970</v>
      </c>
      <c r="G85" s="36">
        <v>5.7385056282842228</v>
      </c>
      <c r="H85" s="36">
        <v>3.4399539455066668</v>
      </c>
      <c r="I85" s="1" t="s">
        <v>924</v>
      </c>
      <c r="J85" s="36">
        <f>AVERAGE(G85,G86,G87)</f>
        <v>6.0503801067802598</v>
      </c>
      <c r="K85" s="36">
        <f>AVERAGE(H85,H86,H87)</f>
        <v>2.3467173320044439</v>
      </c>
      <c r="L85" s="53" t="s">
        <v>929</v>
      </c>
    </row>
    <row r="86" spans="2:12" ht="15" customHeight="1" x14ac:dyDescent="0.35">
      <c r="B86" s="28" t="s">
        <v>38</v>
      </c>
      <c r="C86" s="1" t="s">
        <v>949</v>
      </c>
      <c r="D86" s="1" t="s">
        <v>967</v>
      </c>
      <c r="E86" s="6" t="s">
        <v>968</v>
      </c>
      <c r="F86" s="6" t="s">
        <v>970</v>
      </c>
      <c r="G86" s="36">
        <v>6.3030496082953338</v>
      </c>
      <c r="H86" s="36">
        <v>3.8021980505066657</v>
      </c>
      <c r="I86" s="1" t="s">
        <v>911</v>
      </c>
      <c r="J86" s="36"/>
      <c r="K86" s="36"/>
      <c r="L86" s="37"/>
    </row>
    <row r="87" spans="2:12" ht="15" customHeight="1" thickBot="1" x14ac:dyDescent="0.4">
      <c r="B87" s="29" t="s">
        <v>38</v>
      </c>
      <c r="C87" s="39" t="s">
        <v>949</v>
      </c>
      <c r="D87" s="39" t="s">
        <v>967</v>
      </c>
      <c r="E87" s="40" t="s">
        <v>968</v>
      </c>
      <c r="F87" s="40" t="s">
        <v>970</v>
      </c>
      <c r="G87" s="41">
        <v>6.1095850837612211</v>
      </c>
      <c r="H87" s="41">
        <v>-0.20199999999999999</v>
      </c>
      <c r="I87" s="39" t="s">
        <v>913</v>
      </c>
      <c r="J87" s="41"/>
      <c r="K87" s="41"/>
      <c r="L87" s="51"/>
    </row>
    <row r="88" spans="2:12" ht="15" customHeight="1" x14ac:dyDescent="0.35">
      <c r="E88" s="5" t="s">
        <v>1646</v>
      </c>
      <c r="G88" s="36">
        <f>AVERAGE(G83:G87)</f>
        <v>5.8331943165501476</v>
      </c>
      <c r="H88" s="36">
        <f>AVERAGE(H83:H87)</f>
        <v>2.4315977748480866</v>
      </c>
      <c r="L88" s="43" t="s">
        <v>929</v>
      </c>
    </row>
    <row r="89" spans="2:12" ht="15" customHeight="1" x14ac:dyDescent="0.35">
      <c r="E89" s="4" t="s">
        <v>982</v>
      </c>
      <c r="G89" s="36"/>
      <c r="H89" s="36"/>
    </row>
    <row r="90" spans="2:12" ht="15" customHeight="1" thickBot="1" x14ac:dyDescent="0.4"/>
    <row r="91" spans="2:12" ht="15" customHeight="1" x14ac:dyDescent="0.35">
      <c r="B91" s="30" t="s">
        <v>38</v>
      </c>
      <c r="C91" s="32" t="s">
        <v>39</v>
      </c>
      <c r="D91" s="32" t="s">
        <v>945</v>
      </c>
      <c r="E91" s="33" t="s">
        <v>956</v>
      </c>
      <c r="F91" s="33" t="s">
        <v>957</v>
      </c>
      <c r="G91" s="34">
        <v>6.312419762120097</v>
      </c>
      <c r="H91" s="34">
        <v>3.7999803439999997</v>
      </c>
      <c r="I91" s="32" t="s">
        <v>924</v>
      </c>
      <c r="J91" s="34">
        <v>6.312419762120097</v>
      </c>
      <c r="K91" s="34">
        <v>3.7999803439999997</v>
      </c>
      <c r="L91" s="60" t="s">
        <v>929</v>
      </c>
    </row>
    <row r="92" spans="2:12" ht="15" customHeight="1" x14ac:dyDescent="0.35">
      <c r="B92" s="28" t="s">
        <v>38</v>
      </c>
      <c r="C92" s="1" t="s">
        <v>39</v>
      </c>
      <c r="D92" s="1" t="s">
        <v>945</v>
      </c>
      <c r="E92" s="6" t="s">
        <v>956</v>
      </c>
      <c r="F92" s="6" t="s">
        <v>958</v>
      </c>
      <c r="G92" s="36">
        <v>7.0846287274449011</v>
      </c>
      <c r="H92" s="36">
        <v>3.00341066871857</v>
      </c>
      <c r="I92" s="1" t="s">
        <v>923</v>
      </c>
      <c r="J92" s="36">
        <v>7.0846287274449011</v>
      </c>
      <c r="K92" s="36">
        <v>3.00341066871857</v>
      </c>
      <c r="L92" s="55" t="s">
        <v>948</v>
      </c>
    </row>
    <row r="93" spans="2:12" ht="15" customHeight="1" x14ac:dyDescent="0.35">
      <c r="B93" s="28" t="s">
        <v>38</v>
      </c>
      <c r="C93" s="1" t="s">
        <v>39</v>
      </c>
      <c r="D93" s="1" t="s">
        <v>945</v>
      </c>
      <c r="E93" s="6" t="s">
        <v>956</v>
      </c>
      <c r="F93" s="6" t="s">
        <v>959</v>
      </c>
      <c r="G93" s="36">
        <v>6.7933367563923106</v>
      </c>
      <c r="H93" s="36">
        <v>-4.7</v>
      </c>
      <c r="I93" s="1" t="s">
        <v>913</v>
      </c>
      <c r="J93" s="36">
        <v>6.7933367563923106</v>
      </c>
      <c r="K93" s="36">
        <v>-4.7</v>
      </c>
      <c r="L93" s="57" t="s">
        <v>960</v>
      </c>
    </row>
    <row r="94" spans="2:12" ht="15" customHeight="1" x14ac:dyDescent="0.35">
      <c r="B94" s="28" t="s">
        <v>38</v>
      </c>
      <c r="C94" s="1" t="s">
        <v>39</v>
      </c>
      <c r="D94" s="1" t="s">
        <v>945</v>
      </c>
      <c r="E94" s="6" t="s">
        <v>956</v>
      </c>
      <c r="F94" s="6" t="s">
        <v>961</v>
      </c>
      <c r="G94" s="36">
        <v>8.8009197621200919</v>
      </c>
      <c r="H94" s="36">
        <v>2.8209803440000001</v>
      </c>
      <c r="I94" s="1" t="s">
        <v>924</v>
      </c>
      <c r="J94" s="36">
        <v>8.8009197621200919</v>
      </c>
      <c r="K94" s="36">
        <v>2.8209803440000001</v>
      </c>
      <c r="L94" s="55" t="s">
        <v>948</v>
      </c>
    </row>
    <row r="95" spans="2:12" ht="15" customHeight="1" x14ac:dyDescent="0.35">
      <c r="B95" s="28" t="s">
        <v>38</v>
      </c>
      <c r="C95" s="1" t="s">
        <v>39</v>
      </c>
      <c r="D95" s="1" t="s">
        <v>945</v>
      </c>
      <c r="E95" s="6" t="s">
        <v>956</v>
      </c>
      <c r="F95" s="6" t="s">
        <v>962</v>
      </c>
      <c r="G95" s="36">
        <v>5.0699626575385146</v>
      </c>
      <c r="H95" s="36">
        <v>-1.4283333333333332</v>
      </c>
      <c r="I95" s="1" t="s">
        <v>913</v>
      </c>
      <c r="J95" s="36">
        <v>5.0699626575385146</v>
      </c>
      <c r="K95" s="36">
        <v>-1.4283333333333332</v>
      </c>
      <c r="L95" s="56" t="s">
        <v>912</v>
      </c>
    </row>
    <row r="96" spans="2:12" ht="15" customHeight="1" x14ac:dyDescent="0.35">
      <c r="B96" s="28" t="s">
        <v>38</v>
      </c>
      <c r="C96" s="1" t="s">
        <v>39</v>
      </c>
      <c r="D96" s="1" t="s">
        <v>945</v>
      </c>
      <c r="E96" s="6" t="s">
        <v>956</v>
      </c>
      <c r="F96" s="6" t="s">
        <v>963</v>
      </c>
      <c r="G96" s="36">
        <v>8.7872335760349536</v>
      </c>
      <c r="H96" s="36">
        <v>1.9882000000000002</v>
      </c>
      <c r="I96" s="1" t="s">
        <v>964</v>
      </c>
      <c r="J96" s="36">
        <f>AVERAGE(G96,G97,G98,G99)</f>
        <v>8.6030917273420719</v>
      </c>
      <c r="K96" s="36">
        <f>AVERAGE(H96,H97,H98,H99)</f>
        <v>2.3222291666666672</v>
      </c>
      <c r="L96" s="55" t="s">
        <v>948</v>
      </c>
    </row>
    <row r="97" spans="2:12" ht="15" customHeight="1" x14ac:dyDescent="0.35">
      <c r="B97" s="28" t="s">
        <v>38</v>
      </c>
      <c r="C97" s="1" t="s">
        <v>39</v>
      </c>
      <c r="D97" s="1" t="s">
        <v>945</v>
      </c>
      <c r="E97" s="6" t="s">
        <v>956</v>
      </c>
      <c r="F97" s="6" t="s">
        <v>963</v>
      </c>
      <c r="G97" s="36">
        <v>8.8949999999999996</v>
      </c>
      <c r="H97" s="36">
        <v>3.8415000000000004</v>
      </c>
      <c r="I97" s="1" t="s">
        <v>965</v>
      </c>
      <c r="J97" s="36"/>
      <c r="K97" s="36"/>
      <c r="L97" s="37"/>
    </row>
    <row r="98" spans="2:12" ht="15" customHeight="1" x14ac:dyDescent="0.35">
      <c r="B98" s="28" t="s">
        <v>38</v>
      </c>
      <c r="C98" s="1" t="s">
        <v>39</v>
      </c>
      <c r="D98" s="1" t="s">
        <v>945</v>
      </c>
      <c r="E98" s="6" t="s">
        <v>956</v>
      </c>
      <c r="F98" s="6" t="s">
        <v>963</v>
      </c>
      <c r="G98" s="36">
        <v>8.4660000000000011</v>
      </c>
      <c r="H98" s="36">
        <v>2.0132000000000003</v>
      </c>
      <c r="I98" s="1" t="s">
        <v>966</v>
      </c>
      <c r="J98" s="36"/>
      <c r="K98" s="36"/>
      <c r="L98" s="37"/>
    </row>
    <row r="99" spans="2:12" ht="15" customHeight="1" thickBot="1" x14ac:dyDescent="0.4">
      <c r="B99" s="29" t="s">
        <v>38</v>
      </c>
      <c r="C99" s="39" t="s">
        <v>39</v>
      </c>
      <c r="D99" s="39" t="s">
        <v>945</v>
      </c>
      <c r="E99" s="40" t="s">
        <v>956</v>
      </c>
      <c r="F99" s="40" t="s">
        <v>963</v>
      </c>
      <c r="G99" s="41">
        <v>8.26413333333333</v>
      </c>
      <c r="H99" s="41">
        <v>1.4460166666666669</v>
      </c>
      <c r="I99" s="39" t="s">
        <v>921</v>
      </c>
      <c r="J99" s="41"/>
      <c r="K99" s="41"/>
      <c r="L99" s="51"/>
    </row>
    <row r="100" spans="2:12" ht="15" customHeight="1" x14ac:dyDescent="0.35">
      <c r="E100" s="5" t="s">
        <v>1590</v>
      </c>
      <c r="G100" s="36">
        <f>AVERAGE(G91:G99)</f>
        <v>7.6081816194426874</v>
      </c>
      <c r="H100" s="36">
        <f>AVERAGE(H91:H99)</f>
        <v>1.4205505211168785</v>
      </c>
      <c r="L100" s="43" t="s">
        <v>929</v>
      </c>
    </row>
    <row r="101" spans="2:12" ht="15" customHeight="1" thickBot="1" x14ac:dyDescent="0.4"/>
    <row r="102" spans="2:12" ht="15" customHeight="1" thickBot="1" x14ac:dyDescent="0.4">
      <c r="B102" s="44" t="s">
        <v>38</v>
      </c>
      <c r="C102" s="45" t="s">
        <v>39</v>
      </c>
      <c r="D102" s="45" t="s">
        <v>945</v>
      </c>
      <c r="E102" s="46" t="s">
        <v>980</v>
      </c>
      <c r="F102" s="46" t="s">
        <v>978</v>
      </c>
      <c r="G102" s="47">
        <v>7.0691212121212139</v>
      </c>
      <c r="H102" s="47">
        <v>2.5765984848484855</v>
      </c>
      <c r="I102" s="45" t="s">
        <v>921</v>
      </c>
      <c r="J102" s="47"/>
      <c r="K102" s="47"/>
      <c r="L102" s="59" t="s">
        <v>929</v>
      </c>
    </row>
    <row r="103" spans="2:12" ht="15" customHeight="1" x14ac:dyDescent="0.35">
      <c r="E103" s="5" t="s">
        <v>1647</v>
      </c>
      <c r="G103" s="36">
        <f>AVERAGE(G102)</f>
        <v>7.0691212121212139</v>
      </c>
      <c r="H103" s="36">
        <f>AVERAGE(H102)</f>
        <v>2.5765984848484855</v>
      </c>
      <c r="L103" s="43" t="s">
        <v>929</v>
      </c>
    </row>
    <row r="104" spans="2:12" ht="15" customHeight="1" thickBot="1" x14ac:dyDescent="0.4"/>
    <row r="105" spans="2:12" ht="15" customHeight="1" x14ac:dyDescent="0.35">
      <c r="B105" s="30" t="s">
        <v>41</v>
      </c>
      <c r="C105" s="32" t="s">
        <v>42</v>
      </c>
      <c r="D105" s="32" t="s">
        <v>983</v>
      </c>
      <c r="E105" s="33" t="s">
        <v>984</v>
      </c>
      <c r="F105" s="33" t="s">
        <v>985</v>
      </c>
      <c r="G105" s="34">
        <v>4.0154356238390783</v>
      </c>
      <c r="H105" s="34">
        <v>-2.9652052591068601</v>
      </c>
      <c r="I105" s="32" t="s">
        <v>986</v>
      </c>
      <c r="J105" s="34">
        <f>AVERAGE(G105,G106)</f>
        <v>3.8180380480335412</v>
      </c>
      <c r="K105" s="34">
        <f>AVERAGE(H105,H106)</f>
        <v>-2.4619776295534299</v>
      </c>
      <c r="L105" s="61" t="s">
        <v>960</v>
      </c>
    </row>
    <row r="106" spans="2:12" ht="15" customHeight="1" x14ac:dyDescent="0.35">
      <c r="B106" s="28" t="s">
        <v>41</v>
      </c>
      <c r="C106" s="1" t="s">
        <v>42</v>
      </c>
      <c r="D106" s="1" t="s">
        <v>983</v>
      </c>
      <c r="E106" s="6" t="s">
        <v>984</v>
      </c>
      <c r="F106" s="6" t="s">
        <v>985</v>
      </c>
      <c r="G106" s="36">
        <v>3.6206404722280041</v>
      </c>
      <c r="H106" s="36">
        <v>-1.9587499999999998</v>
      </c>
      <c r="I106" s="1" t="s">
        <v>964</v>
      </c>
      <c r="J106" s="36"/>
      <c r="K106" s="36"/>
      <c r="L106" s="37"/>
    </row>
    <row r="107" spans="2:12" ht="15" customHeight="1" x14ac:dyDescent="0.35">
      <c r="B107" s="28" t="s">
        <v>41</v>
      </c>
      <c r="C107" s="1" t="s">
        <v>42</v>
      </c>
      <c r="D107" s="1" t="s">
        <v>983</v>
      </c>
      <c r="E107" s="6" t="s">
        <v>984</v>
      </c>
      <c r="F107" s="6" t="s">
        <v>987</v>
      </c>
      <c r="G107" s="36">
        <v>3.0575941335552379</v>
      </c>
      <c r="H107" s="36">
        <v>-0.62899999999999956</v>
      </c>
      <c r="I107" s="1" t="s">
        <v>964</v>
      </c>
      <c r="J107" s="36">
        <v>3.0575941335552379</v>
      </c>
      <c r="K107" s="36">
        <v>-0.62899999999999956</v>
      </c>
      <c r="L107" s="56" t="s">
        <v>912</v>
      </c>
    </row>
    <row r="108" spans="2:12" ht="15" customHeight="1" x14ac:dyDescent="0.35">
      <c r="B108" s="28" t="s">
        <v>41</v>
      </c>
      <c r="C108" s="1" t="s">
        <v>42</v>
      </c>
      <c r="D108" s="1" t="s">
        <v>983</v>
      </c>
      <c r="E108" s="6" t="s">
        <v>984</v>
      </c>
      <c r="F108" s="6" t="s">
        <v>988</v>
      </c>
      <c r="G108" s="36">
        <v>4.2823544343141293</v>
      </c>
      <c r="H108" s="36">
        <v>-0.58699999999999974</v>
      </c>
      <c r="I108" s="1" t="s">
        <v>989</v>
      </c>
      <c r="J108" s="36">
        <v>4.2823544343141293</v>
      </c>
      <c r="K108" s="36">
        <v>-0.58699999999999974</v>
      </c>
      <c r="L108" s="56" t="s">
        <v>912</v>
      </c>
    </row>
    <row r="109" spans="2:12" ht="15" customHeight="1" x14ac:dyDescent="0.35">
      <c r="B109" s="28" t="s">
        <v>41</v>
      </c>
      <c r="C109" s="1" t="s">
        <v>42</v>
      </c>
      <c r="D109" s="1" t="s">
        <v>983</v>
      </c>
      <c r="E109" s="6" t="s">
        <v>984</v>
      </c>
      <c r="F109" s="6" t="s">
        <v>990</v>
      </c>
      <c r="G109" s="36">
        <v>2.9800000000000004</v>
      </c>
      <c r="H109" s="36">
        <v>-5.15</v>
      </c>
      <c r="I109" s="1" t="s">
        <v>965</v>
      </c>
      <c r="J109" s="36">
        <f>AVERAGE(G109,G110)</f>
        <v>2.4811999999999994</v>
      </c>
      <c r="K109" s="36">
        <f>AVERAGE(H109,H110)</f>
        <v>-5.7637499999999999</v>
      </c>
      <c r="L109" s="57" t="s">
        <v>960</v>
      </c>
    </row>
    <row r="110" spans="2:12" ht="15" customHeight="1" x14ac:dyDescent="0.35">
      <c r="B110" s="28" t="s">
        <v>41</v>
      </c>
      <c r="C110" s="1" t="s">
        <v>42</v>
      </c>
      <c r="D110" s="1" t="s">
        <v>983</v>
      </c>
      <c r="E110" s="6" t="s">
        <v>984</v>
      </c>
      <c r="F110" s="6" t="s">
        <v>990</v>
      </c>
      <c r="G110" s="36">
        <v>1.9823999999999984</v>
      </c>
      <c r="H110" s="36">
        <v>-6.3775000000000004</v>
      </c>
      <c r="I110" s="1" t="s">
        <v>966</v>
      </c>
      <c r="J110" s="36"/>
      <c r="K110" s="36"/>
      <c r="L110" s="37"/>
    </row>
    <row r="111" spans="2:12" ht="15" customHeight="1" thickBot="1" x14ac:dyDescent="0.4">
      <c r="B111" s="29" t="s">
        <v>41</v>
      </c>
      <c r="C111" s="39" t="s">
        <v>42</v>
      </c>
      <c r="D111" s="39" t="s">
        <v>983</v>
      </c>
      <c r="E111" s="40" t="s">
        <v>984</v>
      </c>
      <c r="F111" s="40" t="s">
        <v>991</v>
      </c>
      <c r="G111" s="41">
        <v>3.6816456002210245</v>
      </c>
      <c r="H111" s="41">
        <v>-0.46600000000000019</v>
      </c>
      <c r="I111" s="39" t="s">
        <v>992</v>
      </c>
      <c r="J111" s="41">
        <v>3.6816456002210245</v>
      </c>
      <c r="K111" s="41">
        <v>-0.46600000000000019</v>
      </c>
      <c r="L111" s="54" t="s">
        <v>912</v>
      </c>
    </row>
    <row r="112" spans="2:12" ht="15" customHeight="1" x14ac:dyDescent="0.35">
      <c r="E112" s="5" t="s">
        <v>1592</v>
      </c>
      <c r="G112" s="36">
        <f>AVERAGE(G105:G111)</f>
        <v>3.3742957520224963</v>
      </c>
      <c r="H112" s="36">
        <f>AVERAGE(H105:H111)</f>
        <v>-2.590493608443837</v>
      </c>
      <c r="L112" s="62" t="s">
        <v>960</v>
      </c>
    </row>
    <row r="113" spans="2:12" ht="15" customHeight="1" thickBot="1" x14ac:dyDescent="0.4"/>
    <row r="114" spans="2:12" ht="15" customHeight="1" thickBot="1" x14ac:dyDescent="0.4">
      <c r="B114" s="44" t="s">
        <v>41</v>
      </c>
      <c r="C114" s="45" t="s">
        <v>42</v>
      </c>
      <c r="D114" s="45" t="s">
        <v>983</v>
      </c>
      <c r="E114" s="46" t="s">
        <v>993</v>
      </c>
      <c r="F114" s="63" t="s">
        <v>994</v>
      </c>
      <c r="G114" s="47">
        <v>2.0338547956947011</v>
      </c>
      <c r="H114" s="47">
        <v>1.6582105263157896</v>
      </c>
      <c r="I114" s="45" t="s">
        <v>913</v>
      </c>
      <c r="J114" s="47">
        <v>2.0338547956947011</v>
      </c>
      <c r="K114" s="47">
        <v>1.6582105263157896</v>
      </c>
      <c r="L114" s="58" t="s">
        <v>912</v>
      </c>
    </row>
    <row r="115" spans="2:12" ht="15" customHeight="1" x14ac:dyDescent="0.35">
      <c r="E115" s="5" t="s">
        <v>1648</v>
      </c>
      <c r="G115" s="36">
        <f>AVERAGE(G114)</f>
        <v>2.0338547956947011</v>
      </c>
      <c r="H115" s="36">
        <f>AVERAGE(H114)</f>
        <v>1.6582105263157896</v>
      </c>
      <c r="L115" s="52" t="s">
        <v>912</v>
      </c>
    </row>
    <row r="116" spans="2:12" ht="15" customHeight="1" thickBot="1" x14ac:dyDescent="0.4"/>
    <row r="117" spans="2:12" ht="15" customHeight="1" x14ac:dyDescent="0.35">
      <c r="B117" s="30" t="s">
        <v>41</v>
      </c>
      <c r="C117" s="32" t="s">
        <v>42</v>
      </c>
      <c r="D117" s="32" t="s">
        <v>995</v>
      </c>
      <c r="E117" s="33" t="s">
        <v>996</v>
      </c>
      <c r="F117" s="33" t="s">
        <v>997</v>
      </c>
      <c r="G117" s="34">
        <v>3.7834869565217417</v>
      </c>
      <c r="H117" s="34">
        <v>-0.91359999999999975</v>
      </c>
      <c r="I117" s="32" t="s">
        <v>964</v>
      </c>
      <c r="J117" s="34">
        <f>AVERAGE(G117,G118,G120,G119,G121,G122,G123,G124,G125,G126)</f>
        <v>3.9330319590329923</v>
      </c>
      <c r="K117" s="34">
        <f>AVERAGE(H117,H118,H119,H120,H121,H122,H123,H125,H124,H126)</f>
        <v>-1.2841527052569657</v>
      </c>
      <c r="L117" s="35" t="s">
        <v>912</v>
      </c>
    </row>
    <row r="118" spans="2:12" ht="15" customHeight="1" x14ac:dyDescent="0.35">
      <c r="B118" s="28" t="s">
        <v>41</v>
      </c>
      <c r="C118" s="1" t="s">
        <v>42</v>
      </c>
      <c r="D118" s="1" t="s">
        <v>983</v>
      </c>
      <c r="E118" s="6" t="s">
        <v>996</v>
      </c>
      <c r="F118" s="6" t="s">
        <v>998</v>
      </c>
      <c r="G118" s="36">
        <v>4.0030496082952975</v>
      </c>
      <c r="H118" s="36">
        <v>-1.5348019494933336</v>
      </c>
      <c r="I118" s="1" t="s">
        <v>999</v>
      </c>
      <c r="J118" s="36"/>
      <c r="K118" s="36"/>
      <c r="L118" s="37"/>
    </row>
    <row r="119" spans="2:12" ht="15" customHeight="1" x14ac:dyDescent="0.35">
      <c r="B119" s="28" t="s">
        <v>41</v>
      </c>
      <c r="C119" s="1" t="s">
        <v>42</v>
      </c>
      <c r="D119" s="1" t="s">
        <v>983</v>
      </c>
      <c r="E119" s="6" t="s">
        <v>996</v>
      </c>
      <c r="F119" s="6" t="s">
        <v>998</v>
      </c>
      <c r="G119" s="36">
        <v>3.6205867330246342</v>
      </c>
      <c r="H119" s="36">
        <v>-0.54236843888888919</v>
      </c>
      <c r="I119" s="1" t="s">
        <v>973</v>
      </c>
      <c r="J119" s="36"/>
      <c r="K119" s="36"/>
      <c r="L119" s="37"/>
    </row>
    <row r="120" spans="2:12" ht="15" customHeight="1" x14ac:dyDescent="0.35">
      <c r="B120" s="28" t="s">
        <v>41</v>
      </c>
      <c r="C120" s="1" t="s">
        <v>42</v>
      </c>
      <c r="D120" s="1" t="s">
        <v>983</v>
      </c>
      <c r="E120" s="6" t="s">
        <v>996</v>
      </c>
      <c r="F120" s="6" t="s">
        <v>998</v>
      </c>
      <c r="G120" s="36">
        <v>4.2380763427032875</v>
      </c>
      <c r="H120" s="36">
        <v>-1.8775766960765772E-4</v>
      </c>
      <c r="I120" s="1" t="s">
        <v>923</v>
      </c>
      <c r="J120" s="36"/>
      <c r="K120" s="36"/>
      <c r="L120" s="37"/>
    </row>
    <row r="121" spans="2:12" ht="15" customHeight="1" x14ac:dyDescent="0.35">
      <c r="B121" s="28" t="s">
        <v>41</v>
      </c>
      <c r="C121" s="1" t="s">
        <v>42</v>
      </c>
      <c r="D121" s="1" t="s">
        <v>983</v>
      </c>
      <c r="E121" s="6" t="s">
        <v>996</v>
      </c>
      <c r="F121" s="6" t="s">
        <v>998</v>
      </c>
      <c r="G121" s="36">
        <v>3.9030496082953334</v>
      </c>
      <c r="H121" s="36">
        <v>-1.034801949493334</v>
      </c>
      <c r="I121" s="1" t="s">
        <v>924</v>
      </c>
      <c r="J121" s="36"/>
      <c r="K121" s="36"/>
      <c r="L121" s="37"/>
    </row>
    <row r="122" spans="2:12" ht="15" customHeight="1" x14ac:dyDescent="0.35">
      <c r="B122" s="28" t="s">
        <v>41</v>
      </c>
      <c r="C122" s="1" t="s">
        <v>42</v>
      </c>
      <c r="D122" s="1" t="s">
        <v>983</v>
      </c>
      <c r="E122" s="6" t="s">
        <v>996</v>
      </c>
      <c r="F122" s="6" t="s">
        <v>998</v>
      </c>
      <c r="G122" s="36">
        <v>3.3262347792071019</v>
      </c>
      <c r="H122" s="36">
        <v>-1.2612150075311597</v>
      </c>
      <c r="I122" s="1" t="s">
        <v>925</v>
      </c>
      <c r="J122" s="36"/>
      <c r="K122" s="36"/>
      <c r="L122" s="37"/>
    </row>
    <row r="123" spans="2:12" ht="15" customHeight="1" x14ac:dyDescent="0.35">
      <c r="B123" s="28" t="s">
        <v>41</v>
      </c>
      <c r="C123" s="1" t="s">
        <v>42</v>
      </c>
      <c r="D123" s="1" t="s">
        <v>983</v>
      </c>
      <c r="E123" s="6" t="s">
        <v>996</v>
      </c>
      <c r="F123" s="6" t="s">
        <v>998</v>
      </c>
      <c r="G123" s="36">
        <v>4.4666666666666686</v>
      </c>
      <c r="H123" s="36">
        <v>-2.666666666666667</v>
      </c>
      <c r="I123" s="1" t="s">
        <v>1000</v>
      </c>
      <c r="J123" s="36"/>
      <c r="K123" s="36"/>
      <c r="L123" s="37"/>
    </row>
    <row r="124" spans="2:12" ht="15" customHeight="1" x14ac:dyDescent="0.35">
      <c r="B124" s="28" t="s">
        <v>41</v>
      </c>
      <c r="C124" s="1" t="s">
        <v>42</v>
      </c>
      <c r="D124" s="1" t="s">
        <v>983</v>
      </c>
      <c r="E124" s="6" t="s">
        <v>996</v>
      </c>
      <c r="F124" s="6" t="s">
        <v>998</v>
      </c>
      <c r="G124" s="36">
        <v>3.9030496082953334</v>
      </c>
      <c r="H124" s="36">
        <v>-1.034801949493334</v>
      </c>
      <c r="I124" s="1" t="s">
        <v>911</v>
      </c>
      <c r="J124" s="36"/>
      <c r="K124" s="36"/>
      <c r="L124" s="37"/>
    </row>
    <row r="125" spans="2:12" ht="15" customHeight="1" x14ac:dyDescent="0.35">
      <c r="B125" s="28" t="s">
        <v>41</v>
      </c>
      <c r="C125" s="1" t="s">
        <v>42</v>
      </c>
      <c r="D125" s="1" t="s">
        <v>983</v>
      </c>
      <c r="E125" s="6" t="s">
        <v>996</v>
      </c>
      <c r="F125" s="6" t="s">
        <v>997</v>
      </c>
      <c r="G125" s="36">
        <v>4.8780000000000001</v>
      </c>
      <c r="H125" s="36">
        <v>-2.6374999999999993</v>
      </c>
      <c r="I125" s="1" t="s">
        <v>965</v>
      </c>
      <c r="J125" s="36"/>
      <c r="K125" s="36"/>
      <c r="L125" s="37"/>
    </row>
    <row r="126" spans="2:12" ht="15" customHeight="1" thickBot="1" x14ac:dyDescent="0.4">
      <c r="B126" s="29" t="s">
        <v>41</v>
      </c>
      <c r="C126" s="39" t="s">
        <v>42</v>
      </c>
      <c r="D126" s="39" t="s">
        <v>983</v>
      </c>
      <c r="E126" s="40" t="s">
        <v>996</v>
      </c>
      <c r="F126" s="40" t="s">
        <v>998</v>
      </c>
      <c r="G126" s="41">
        <v>3.2081192873205318</v>
      </c>
      <c r="H126" s="41">
        <v>-1.215583333333333</v>
      </c>
      <c r="I126" s="39" t="s">
        <v>921</v>
      </c>
      <c r="J126" s="41"/>
      <c r="K126" s="41"/>
      <c r="L126" s="51"/>
    </row>
    <row r="127" spans="2:12" ht="15" customHeight="1" x14ac:dyDescent="0.35">
      <c r="E127" s="5" t="s">
        <v>1649</v>
      </c>
      <c r="G127" s="36">
        <f>AVERAGE(G117:G126)</f>
        <v>3.9330319590329923</v>
      </c>
      <c r="H127" s="36">
        <f>AVERAGE(H117:H126)</f>
        <v>-1.2841527052569659</v>
      </c>
      <c r="L127" s="52" t="s">
        <v>912</v>
      </c>
    </row>
    <row r="128" spans="2:12" ht="15" customHeight="1" thickBot="1" x14ac:dyDescent="0.4">
      <c r="G128" s="36"/>
      <c r="H128" s="36"/>
      <c r="L128" s="52"/>
    </row>
    <row r="129" spans="2:12" ht="15" customHeight="1" x14ac:dyDescent="0.35">
      <c r="B129" s="30" t="s">
        <v>41</v>
      </c>
      <c r="C129" s="32" t="s">
        <v>42</v>
      </c>
      <c r="D129" s="32" t="s">
        <v>1001</v>
      </c>
      <c r="E129" s="33" t="s">
        <v>1002</v>
      </c>
      <c r="F129" s="33" t="s">
        <v>1003</v>
      </c>
      <c r="G129" s="34">
        <v>5.9666666666666686</v>
      </c>
      <c r="H129" s="34">
        <v>4.5333333333333332</v>
      </c>
      <c r="I129" s="32" t="s">
        <v>1000</v>
      </c>
      <c r="J129" s="34">
        <f>AVERAGE(G129,G130)</f>
        <v>3.6313333160451595</v>
      </c>
      <c r="K129" s="34">
        <f>AVERAGE(H129,H130)</f>
        <v>2.7774999999999999</v>
      </c>
      <c r="L129" s="60" t="s">
        <v>929</v>
      </c>
    </row>
    <row r="130" spans="2:12" ht="15" customHeight="1" x14ac:dyDescent="0.35">
      <c r="B130" s="28" t="s">
        <v>41</v>
      </c>
      <c r="C130" s="1" t="s">
        <v>42</v>
      </c>
      <c r="D130" s="1" t="s">
        <v>1001</v>
      </c>
      <c r="E130" s="6" t="s">
        <v>1002</v>
      </c>
      <c r="F130" s="6" t="s">
        <v>1003</v>
      </c>
      <c r="G130" s="36">
        <v>1.2959999654236505</v>
      </c>
      <c r="H130" s="36">
        <v>1.0216666666666667</v>
      </c>
      <c r="I130" s="1" t="s">
        <v>913</v>
      </c>
      <c r="J130" s="36"/>
      <c r="K130" s="36"/>
      <c r="L130" s="37"/>
    </row>
    <row r="131" spans="2:12" ht="15" customHeight="1" x14ac:dyDescent="0.35">
      <c r="B131" s="28" t="s">
        <v>41</v>
      </c>
      <c r="C131" s="1" t="s">
        <v>42</v>
      </c>
      <c r="D131" s="1" t="s">
        <v>1001</v>
      </c>
      <c r="E131" s="6" t="s">
        <v>1002</v>
      </c>
      <c r="F131" s="6" t="s">
        <v>1004</v>
      </c>
      <c r="G131" s="36">
        <v>5.7187362654953002</v>
      </c>
      <c r="H131" s="36">
        <v>-0.98345586736000001</v>
      </c>
      <c r="I131" s="1" t="s">
        <v>999</v>
      </c>
      <c r="J131" s="36">
        <f>AVERAGE(G131,G132,G133,G134,G135)</f>
        <v>4.3546197782668319</v>
      </c>
      <c r="K131" s="36">
        <f>AVERAGE(H131,H132,H134,H133,H135)</f>
        <v>0.81361631966933334</v>
      </c>
      <c r="L131" s="56" t="s">
        <v>912</v>
      </c>
    </row>
    <row r="132" spans="2:12" ht="15" customHeight="1" x14ac:dyDescent="0.35">
      <c r="B132" s="28" t="s">
        <v>41</v>
      </c>
      <c r="C132" s="1" t="s">
        <v>42</v>
      </c>
      <c r="D132" s="1" t="s">
        <v>1001</v>
      </c>
      <c r="E132" s="6" t="s">
        <v>1002</v>
      </c>
      <c r="F132" s="6" t="s">
        <v>1004</v>
      </c>
      <c r="G132" s="36">
        <v>3.2580620575020021</v>
      </c>
      <c r="H132" s="36">
        <v>0.56118941519999987</v>
      </c>
      <c r="I132" s="1" t="s">
        <v>924</v>
      </c>
      <c r="J132" s="36"/>
      <c r="K132" s="36"/>
      <c r="L132" s="37"/>
    </row>
    <row r="133" spans="2:12" ht="15" customHeight="1" x14ac:dyDescent="0.35">
      <c r="B133" s="28" t="s">
        <v>41</v>
      </c>
      <c r="C133" s="1" t="s">
        <v>42</v>
      </c>
      <c r="D133" s="1" t="s">
        <v>1001</v>
      </c>
      <c r="E133" s="6" t="s">
        <v>1002</v>
      </c>
      <c r="F133" s="6" t="s">
        <v>1004</v>
      </c>
      <c r="G133" s="36">
        <v>3.2920496082953337</v>
      </c>
      <c r="H133" s="36">
        <v>-1.226801949493334</v>
      </c>
      <c r="I133" s="1" t="s">
        <v>911</v>
      </c>
      <c r="J133" s="36"/>
      <c r="K133" s="36"/>
      <c r="L133" s="37"/>
    </row>
    <row r="134" spans="2:12" ht="15" customHeight="1" x14ac:dyDescent="0.35">
      <c r="B134" s="28" t="s">
        <v>41</v>
      </c>
      <c r="C134" s="1" t="s">
        <v>42</v>
      </c>
      <c r="D134" s="1" t="s">
        <v>1001</v>
      </c>
      <c r="E134" s="6" t="s">
        <v>1002</v>
      </c>
      <c r="F134" s="6" t="s">
        <v>1004</v>
      </c>
      <c r="G134" s="36">
        <v>4.8580000000000005</v>
      </c>
      <c r="H134" s="36">
        <v>0.59340000000000037</v>
      </c>
      <c r="I134" s="1" t="s">
        <v>966</v>
      </c>
      <c r="J134" s="36"/>
      <c r="K134" s="36"/>
      <c r="L134" s="37"/>
    </row>
    <row r="135" spans="2:12" ht="15" customHeight="1" x14ac:dyDescent="0.35">
      <c r="B135" s="28" t="s">
        <v>41</v>
      </c>
      <c r="C135" s="1" t="s">
        <v>42</v>
      </c>
      <c r="D135" s="1" t="s">
        <v>1001</v>
      </c>
      <c r="E135" s="6" t="s">
        <v>1002</v>
      </c>
      <c r="F135" s="6" t="s">
        <v>1004</v>
      </c>
      <c r="G135" s="36">
        <v>4.6462509600415203</v>
      </c>
      <c r="H135" s="36">
        <v>5.1237500000000002</v>
      </c>
      <c r="I135" s="1" t="s">
        <v>921</v>
      </c>
      <c r="J135" s="36"/>
      <c r="K135" s="36"/>
      <c r="L135" s="37"/>
    </row>
    <row r="136" spans="2:12" ht="15" customHeight="1" x14ac:dyDescent="0.35">
      <c r="B136" s="28" t="s">
        <v>41</v>
      </c>
      <c r="C136" s="1" t="s">
        <v>42</v>
      </c>
      <c r="D136" s="1" t="s">
        <v>1001</v>
      </c>
      <c r="E136" s="6" t="s">
        <v>1002</v>
      </c>
      <c r="F136" s="6" t="s">
        <v>1005</v>
      </c>
      <c r="G136" s="36">
        <v>4.7262845407663354</v>
      </c>
      <c r="H136" s="36">
        <v>3.7298505924263163</v>
      </c>
      <c r="I136" s="1" t="s">
        <v>923</v>
      </c>
      <c r="J136" s="36">
        <v>4.7262845407663354</v>
      </c>
      <c r="K136" s="36">
        <v>3.7298505924263163</v>
      </c>
      <c r="L136" s="53" t="s">
        <v>929</v>
      </c>
    </row>
    <row r="137" spans="2:12" ht="15" customHeight="1" x14ac:dyDescent="0.35">
      <c r="B137" s="28" t="s">
        <v>41</v>
      </c>
      <c r="C137" s="1" t="s">
        <v>42</v>
      </c>
      <c r="D137" s="1" t="s">
        <v>1001</v>
      </c>
      <c r="E137" s="6" t="s">
        <v>1002</v>
      </c>
      <c r="F137" s="6" t="s">
        <v>1006</v>
      </c>
      <c r="G137" s="36">
        <v>4.5525417248264439</v>
      </c>
      <c r="H137" s="36">
        <v>3.0288516982933333</v>
      </c>
      <c r="I137" s="1" t="s">
        <v>924</v>
      </c>
      <c r="J137" s="36">
        <f>AVERAGE(G137,G138,G139)</f>
        <v>4.7188816754181504</v>
      </c>
      <c r="K137" s="36">
        <f>AVERAGE(H137,H138,H139)</f>
        <v>2.1684888051555551</v>
      </c>
      <c r="L137" s="53" t="s">
        <v>929</v>
      </c>
    </row>
    <row r="138" spans="2:12" ht="15" customHeight="1" x14ac:dyDescent="0.35">
      <c r="B138" s="28" t="s">
        <v>41</v>
      </c>
      <c r="C138" s="1" t="s">
        <v>42</v>
      </c>
      <c r="D138" s="1" t="s">
        <v>1001</v>
      </c>
      <c r="E138" s="6" t="s">
        <v>1002</v>
      </c>
      <c r="F138" s="6" t="s">
        <v>1006</v>
      </c>
      <c r="G138" s="36">
        <v>5.4480496082953334</v>
      </c>
      <c r="H138" s="36">
        <v>3.2281980505066659</v>
      </c>
      <c r="I138" s="1" t="s">
        <v>911</v>
      </c>
      <c r="J138" s="36"/>
      <c r="K138" s="36"/>
      <c r="L138" s="37"/>
    </row>
    <row r="139" spans="2:12" ht="15" customHeight="1" thickBot="1" x14ac:dyDescent="0.4">
      <c r="B139" s="29" t="s">
        <v>41</v>
      </c>
      <c r="C139" s="39" t="s">
        <v>42</v>
      </c>
      <c r="D139" s="39" t="s">
        <v>1001</v>
      </c>
      <c r="E139" s="40" t="s">
        <v>1002</v>
      </c>
      <c r="F139" s="40" t="s">
        <v>1006</v>
      </c>
      <c r="G139" s="41">
        <v>4.156053693132673</v>
      </c>
      <c r="H139" s="41">
        <v>0.24841666666666651</v>
      </c>
      <c r="I139" s="39" t="s">
        <v>921</v>
      </c>
      <c r="J139" s="41"/>
      <c r="K139" s="41"/>
      <c r="L139" s="51"/>
    </row>
    <row r="140" spans="2:12" ht="15" customHeight="1" x14ac:dyDescent="0.35">
      <c r="E140" s="5" t="s">
        <v>1593</v>
      </c>
      <c r="G140" s="36">
        <f>AVERAGE(G129:G139)</f>
        <v>4.356245008222297</v>
      </c>
      <c r="H140" s="36">
        <f>AVERAGE(H129:H139)</f>
        <v>1.8053089642036044</v>
      </c>
      <c r="L140" s="43" t="s">
        <v>929</v>
      </c>
    </row>
    <row r="141" spans="2:12" ht="15" customHeight="1" thickBot="1" x14ac:dyDescent="0.4"/>
    <row r="142" spans="2:12" ht="15" customHeight="1" x14ac:dyDescent="0.35">
      <c r="B142" s="30" t="s">
        <v>41</v>
      </c>
      <c r="C142" s="32" t="s">
        <v>42</v>
      </c>
      <c r="D142" s="32" t="s">
        <v>1007</v>
      </c>
      <c r="E142" s="33" t="s">
        <v>1008</v>
      </c>
      <c r="F142" s="33" t="s">
        <v>1009</v>
      </c>
      <c r="G142" s="34">
        <v>4.2469412800000015</v>
      </c>
      <c r="H142" s="34">
        <v>0.87661666633333335</v>
      </c>
      <c r="I142" s="32" t="s">
        <v>928</v>
      </c>
      <c r="J142" s="34">
        <v>4.2469412800000015</v>
      </c>
      <c r="K142" s="34">
        <v>0.87661666633333335</v>
      </c>
      <c r="L142" s="35" t="s">
        <v>912</v>
      </c>
    </row>
    <row r="143" spans="2:12" ht="15" customHeight="1" x14ac:dyDescent="0.35">
      <c r="B143" s="28" t="s">
        <v>41</v>
      </c>
      <c r="C143" s="1" t="s">
        <v>42</v>
      </c>
      <c r="D143" s="1" t="s">
        <v>1007</v>
      </c>
      <c r="E143" s="6" t="s">
        <v>1010</v>
      </c>
      <c r="F143" s="6" t="s">
        <v>1011</v>
      </c>
      <c r="G143" s="36">
        <v>1.645560524000004</v>
      </c>
      <c r="H143" s="36">
        <v>3.7670982261999995</v>
      </c>
      <c r="I143" s="1" t="s">
        <v>1012</v>
      </c>
      <c r="J143" s="36">
        <v>1.645560524000004</v>
      </c>
      <c r="K143" s="36">
        <v>3.7670982261999995</v>
      </c>
      <c r="L143" s="53" t="s">
        <v>929</v>
      </c>
    </row>
    <row r="144" spans="2:12" ht="15" customHeight="1" x14ac:dyDescent="0.35">
      <c r="B144" s="28" t="s">
        <v>41</v>
      </c>
      <c r="C144" s="1" t="s">
        <v>42</v>
      </c>
      <c r="D144" s="1" t="s">
        <v>1007</v>
      </c>
      <c r="E144" s="6" t="s">
        <v>1013</v>
      </c>
      <c r="F144" s="6" t="s">
        <v>1014</v>
      </c>
      <c r="G144" s="36">
        <v>3.6499999999999986</v>
      </c>
      <c r="H144" s="36">
        <v>-0.5</v>
      </c>
      <c r="I144" s="1" t="s">
        <v>938</v>
      </c>
      <c r="J144" s="36">
        <v>2.2301573319999992</v>
      </c>
      <c r="K144" s="36">
        <v>1.3828568966000001</v>
      </c>
      <c r="L144" s="64" t="s">
        <v>1015</v>
      </c>
    </row>
    <row r="145" spans="2:12" ht="15" customHeight="1" x14ac:dyDescent="0.35">
      <c r="B145" s="28" t="s">
        <v>41</v>
      </c>
      <c r="C145" s="1" t="s">
        <v>42</v>
      </c>
      <c r="D145" s="1" t="s">
        <v>1007</v>
      </c>
      <c r="E145" s="6" t="s">
        <v>1013</v>
      </c>
      <c r="F145" s="6" t="s">
        <v>1014</v>
      </c>
      <c r="G145" s="36">
        <v>0.81031466399999985</v>
      </c>
      <c r="H145" s="36">
        <v>3.2657137932000002</v>
      </c>
      <c r="I145" s="1" t="s">
        <v>1012</v>
      </c>
      <c r="J145" s="36"/>
      <c r="K145" s="36"/>
      <c r="L145" s="37"/>
    </row>
    <row r="146" spans="2:12" ht="15" customHeight="1" x14ac:dyDescent="0.35">
      <c r="B146" s="28" t="s">
        <v>41</v>
      </c>
      <c r="C146" s="1" t="s">
        <v>42</v>
      </c>
      <c r="D146" s="1" t="s">
        <v>1007</v>
      </c>
      <c r="E146" s="6" t="s">
        <v>1016</v>
      </c>
      <c r="F146" s="6" t="s">
        <v>1017</v>
      </c>
      <c r="G146" s="36">
        <v>4.6689927920332623</v>
      </c>
      <c r="H146" s="36">
        <v>3.3567005924263165</v>
      </c>
      <c r="I146" s="1" t="s">
        <v>923</v>
      </c>
      <c r="J146" s="36">
        <v>4.6689927920332623</v>
      </c>
      <c r="K146" s="36">
        <v>3.3567005924263165</v>
      </c>
      <c r="L146" s="53" t="s">
        <v>929</v>
      </c>
    </row>
    <row r="147" spans="2:12" ht="15" customHeight="1" thickBot="1" x14ac:dyDescent="0.4">
      <c r="B147" s="29" t="s">
        <v>41</v>
      </c>
      <c r="C147" s="39" t="s">
        <v>42</v>
      </c>
      <c r="D147" s="39" t="s">
        <v>1018</v>
      </c>
      <c r="E147" s="40" t="s">
        <v>1019</v>
      </c>
      <c r="F147" s="40" t="s">
        <v>1020</v>
      </c>
      <c r="G147" s="41">
        <v>4.823678718546665</v>
      </c>
      <c r="H147" s="41">
        <v>6.1064489419447332</v>
      </c>
      <c r="I147" s="39" t="s">
        <v>923</v>
      </c>
      <c r="J147" s="41">
        <v>4.823678718546665</v>
      </c>
      <c r="K147" s="41">
        <v>6.1064489419447332</v>
      </c>
      <c r="L147" s="65" t="s">
        <v>918</v>
      </c>
    </row>
    <row r="148" spans="2:12" ht="15" customHeight="1" x14ac:dyDescent="0.35">
      <c r="D148" s="4" t="s">
        <v>1597</v>
      </c>
      <c r="E148" s="6" t="s">
        <v>1594</v>
      </c>
      <c r="G148" s="36">
        <f>AVERAGE(G142:G147)</f>
        <v>3.3075813297633219</v>
      </c>
      <c r="H148" s="36">
        <f>AVERAGE(H142:H147)</f>
        <v>2.8120963700173971</v>
      </c>
      <c r="L148" s="43" t="s">
        <v>929</v>
      </c>
    </row>
    <row r="149" spans="2:12" ht="15" customHeight="1" x14ac:dyDescent="0.35">
      <c r="D149" s="4" t="s">
        <v>1021</v>
      </c>
      <c r="G149" s="36"/>
      <c r="H149" s="36"/>
    </row>
    <row r="150" spans="2:12" ht="15" customHeight="1" thickBot="1" x14ac:dyDescent="0.4"/>
    <row r="151" spans="2:12" ht="15" customHeight="1" x14ac:dyDescent="0.35">
      <c r="B151" s="30" t="s">
        <v>41</v>
      </c>
      <c r="C151" s="32" t="s">
        <v>42</v>
      </c>
      <c r="D151" s="32" t="s">
        <v>1007</v>
      </c>
      <c r="E151" s="33" t="s">
        <v>1013</v>
      </c>
      <c r="F151" s="33" t="s">
        <v>1014</v>
      </c>
      <c r="G151" s="34">
        <v>3.6499999999999986</v>
      </c>
      <c r="H151" s="34">
        <v>-0.5</v>
      </c>
      <c r="I151" s="32" t="s">
        <v>938</v>
      </c>
      <c r="J151" s="34">
        <v>2.2301573319999992</v>
      </c>
      <c r="K151" s="34">
        <v>1.3828568966000001</v>
      </c>
      <c r="L151" s="66" t="s">
        <v>1015</v>
      </c>
    </row>
    <row r="152" spans="2:12" ht="15" customHeight="1" thickBot="1" x14ac:dyDescent="0.4">
      <c r="B152" s="29" t="s">
        <v>41</v>
      </c>
      <c r="C152" s="39" t="s">
        <v>42</v>
      </c>
      <c r="D152" s="39" t="s">
        <v>1018</v>
      </c>
      <c r="E152" s="40" t="s">
        <v>1013</v>
      </c>
      <c r="F152" s="40" t="s">
        <v>1014</v>
      </c>
      <c r="G152" s="41">
        <v>0.81031466399999985</v>
      </c>
      <c r="H152" s="41">
        <v>3.2657137932000002</v>
      </c>
      <c r="I152" s="39" t="s">
        <v>1012</v>
      </c>
      <c r="J152" s="41"/>
      <c r="K152" s="41"/>
      <c r="L152" s="51"/>
    </row>
    <row r="153" spans="2:12" ht="15" customHeight="1" x14ac:dyDescent="0.35">
      <c r="E153" s="5" t="s">
        <v>1650</v>
      </c>
      <c r="G153" s="36">
        <f>AVERAGE(G151:G152)</f>
        <v>2.2301573319999992</v>
      </c>
      <c r="H153" s="36">
        <f>AVERAGE(H151:H152)</f>
        <v>1.3828568966000001</v>
      </c>
      <c r="L153" s="67" t="s">
        <v>1015</v>
      </c>
    </row>
    <row r="154" spans="2:12" ht="15" customHeight="1" thickBot="1" x14ac:dyDescent="0.4"/>
    <row r="155" spans="2:12" ht="15" customHeight="1" x14ac:dyDescent="0.35">
      <c r="B155" s="30" t="s">
        <v>41</v>
      </c>
      <c r="C155" s="32" t="s">
        <v>42</v>
      </c>
      <c r="D155" s="32" t="s">
        <v>1022</v>
      </c>
      <c r="E155" s="33" t="s">
        <v>1023</v>
      </c>
      <c r="F155" s="33" t="s">
        <v>1024</v>
      </c>
      <c r="G155" s="34">
        <v>4.7544293410692013</v>
      </c>
      <c r="H155" s="34">
        <v>6.0140000000000002</v>
      </c>
      <c r="I155" s="32" t="s">
        <v>992</v>
      </c>
      <c r="J155" s="34">
        <v>4.5822932141038404</v>
      </c>
      <c r="K155" s="34">
        <v>4.9481858517012629</v>
      </c>
      <c r="L155" s="60" t="s">
        <v>929</v>
      </c>
    </row>
    <row r="156" spans="2:12" ht="15" customHeight="1" thickBot="1" x14ac:dyDescent="0.4">
      <c r="B156" s="29" t="s">
        <v>41</v>
      </c>
      <c r="C156" s="39" t="s">
        <v>42</v>
      </c>
      <c r="D156" s="39" t="s">
        <v>1022</v>
      </c>
      <c r="E156" s="40" t="s">
        <v>1025</v>
      </c>
      <c r="F156" s="40" t="s">
        <v>1024</v>
      </c>
      <c r="G156" s="41">
        <v>4.4101570871384785</v>
      </c>
      <c r="H156" s="41">
        <v>3.8823717034025251</v>
      </c>
      <c r="I156" s="39" t="s">
        <v>923</v>
      </c>
      <c r="J156" s="41"/>
      <c r="K156" s="41"/>
      <c r="L156" s="51"/>
    </row>
    <row r="157" spans="2:12" ht="15" customHeight="1" x14ac:dyDescent="0.35">
      <c r="E157" s="5" t="s">
        <v>1651</v>
      </c>
      <c r="G157" s="36">
        <f>AVERAGE(G155:G156)</f>
        <v>4.5822932141038404</v>
      </c>
      <c r="H157" s="36">
        <f>AVERAGE(H155:H156)</f>
        <v>4.9481858517012629</v>
      </c>
      <c r="L157" s="43" t="s">
        <v>929</v>
      </c>
    </row>
    <row r="158" spans="2:12" ht="15" customHeight="1" thickBot="1" x14ac:dyDescent="0.4"/>
    <row r="159" spans="2:12" ht="15" customHeight="1" x14ac:dyDescent="0.35">
      <c r="B159" s="30" t="s">
        <v>41</v>
      </c>
      <c r="C159" s="32" t="s">
        <v>42</v>
      </c>
      <c r="D159" s="32" t="s">
        <v>1022</v>
      </c>
      <c r="E159" s="33" t="s">
        <v>1026</v>
      </c>
      <c r="F159" s="33" t="s">
        <v>1027</v>
      </c>
      <c r="G159" s="34">
        <v>4.3307951310353356</v>
      </c>
      <c r="H159" s="34">
        <v>4.7179623170685714</v>
      </c>
      <c r="I159" s="32" t="s">
        <v>923</v>
      </c>
      <c r="J159" s="34">
        <v>4.3307951310353356</v>
      </c>
      <c r="K159" s="34">
        <v>4.7179623170685714</v>
      </c>
      <c r="L159" s="60" t="s">
        <v>929</v>
      </c>
    </row>
    <row r="160" spans="2:12" ht="15" customHeight="1" x14ac:dyDescent="0.35">
      <c r="B160" s="28" t="s">
        <v>41</v>
      </c>
      <c r="C160" s="1" t="s">
        <v>42</v>
      </c>
      <c r="D160" s="1" t="s">
        <v>1022</v>
      </c>
      <c r="E160" s="6" t="s">
        <v>1026</v>
      </c>
      <c r="F160" s="6" t="s">
        <v>1028</v>
      </c>
      <c r="G160" s="36">
        <v>2.9230294531633523</v>
      </c>
      <c r="H160" s="36">
        <v>4.2663705756637258</v>
      </c>
      <c r="I160" s="1" t="s">
        <v>923</v>
      </c>
      <c r="J160" s="36">
        <v>2.9230294531633523</v>
      </c>
      <c r="K160" s="36">
        <v>4.2663705756637258</v>
      </c>
      <c r="L160" s="53" t="s">
        <v>929</v>
      </c>
    </row>
    <row r="161" spans="2:12" ht="15" customHeight="1" thickBot="1" x14ac:dyDescent="0.4">
      <c r="B161" s="29" t="s">
        <v>41</v>
      </c>
      <c r="C161" s="39" t="s">
        <v>42</v>
      </c>
      <c r="D161" s="39" t="s">
        <v>1022</v>
      </c>
      <c r="E161" s="40" t="s">
        <v>1026</v>
      </c>
      <c r="F161" s="40" t="s">
        <v>1029</v>
      </c>
      <c r="G161" s="41">
        <v>4.3189984191083353</v>
      </c>
      <c r="H161" s="41">
        <v>6.4724821260000009</v>
      </c>
      <c r="I161" s="39" t="s">
        <v>923</v>
      </c>
      <c r="J161" s="41">
        <v>4.3189984191083353</v>
      </c>
      <c r="K161" s="41">
        <v>6.4724821260000009</v>
      </c>
      <c r="L161" s="65" t="s">
        <v>918</v>
      </c>
    </row>
    <row r="162" spans="2:12" ht="15" customHeight="1" x14ac:dyDescent="0.35">
      <c r="E162" s="5" t="s">
        <v>1652</v>
      </c>
      <c r="G162" s="36">
        <f>AVERAGE(G159:G161)</f>
        <v>3.8576076677690074</v>
      </c>
      <c r="H162" s="36">
        <f>AVERAGE(H159:H161)</f>
        <v>5.152271672910766</v>
      </c>
      <c r="L162" s="49" t="s">
        <v>918</v>
      </c>
    </row>
    <row r="163" spans="2:12" ht="15" customHeight="1" thickBot="1" x14ac:dyDescent="0.4"/>
    <row r="164" spans="2:12" ht="15" customHeight="1" x14ac:dyDescent="0.35">
      <c r="B164" s="30" t="s">
        <v>41</v>
      </c>
      <c r="C164" s="32" t="s">
        <v>42</v>
      </c>
      <c r="D164" s="32" t="s">
        <v>1030</v>
      </c>
      <c r="E164" s="33" t="s">
        <v>1031</v>
      </c>
      <c r="F164" s="33" t="s">
        <v>1032</v>
      </c>
      <c r="G164" s="34">
        <v>3.7986586920886687</v>
      </c>
      <c r="H164" s="34">
        <v>2.834749187531111</v>
      </c>
      <c r="I164" s="32" t="s">
        <v>924</v>
      </c>
      <c r="J164" s="34">
        <f>AVERAGE(G164,G165)</f>
        <v>4.397354150192001</v>
      </c>
      <c r="K164" s="34">
        <f>AVERAGE(H164,H165)</f>
        <v>2.7944736190188886</v>
      </c>
      <c r="L164" s="60" t="s">
        <v>929</v>
      </c>
    </row>
    <row r="165" spans="2:12" ht="15" customHeight="1" x14ac:dyDescent="0.35">
      <c r="B165" s="28" t="s">
        <v>41</v>
      </c>
      <c r="C165" s="1" t="s">
        <v>42</v>
      </c>
      <c r="D165" s="1" t="s">
        <v>1030</v>
      </c>
      <c r="E165" s="6" t="s">
        <v>1031</v>
      </c>
      <c r="F165" s="6" t="s">
        <v>1032</v>
      </c>
      <c r="G165" s="36">
        <v>4.9960496082953334</v>
      </c>
      <c r="H165" s="36">
        <v>2.7541980505066657</v>
      </c>
      <c r="I165" s="1" t="s">
        <v>911</v>
      </c>
      <c r="J165" s="36"/>
      <c r="K165" s="36"/>
      <c r="L165" s="37"/>
    </row>
    <row r="166" spans="2:12" ht="15" customHeight="1" x14ac:dyDescent="0.35">
      <c r="B166" s="28" t="s">
        <v>41</v>
      </c>
      <c r="C166" s="1" t="s">
        <v>42</v>
      </c>
      <c r="D166" s="1" t="s">
        <v>1030</v>
      </c>
      <c r="E166" s="6" t="s">
        <v>1031</v>
      </c>
      <c r="F166" s="6" t="s">
        <v>1033</v>
      </c>
      <c r="G166" s="36">
        <v>4.6901367330246266</v>
      </c>
      <c r="H166" s="36">
        <v>3.576169061111111</v>
      </c>
      <c r="I166" s="1" t="s">
        <v>973</v>
      </c>
      <c r="J166" s="36">
        <f>AVERAGE(G166,G167,G168,G169)</f>
        <v>6.2936465853299897</v>
      </c>
      <c r="K166" s="36">
        <f>AVERAGE(H166,H167,H168,H169)</f>
        <v>3.4792917779044448</v>
      </c>
      <c r="L166" s="53" t="s">
        <v>929</v>
      </c>
    </row>
    <row r="167" spans="2:12" ht="15" customHeight="1" x14ac:dyDescent="0.35">
      <c r="B167" s="28" t="s">
        <v>41</v>
      </c>
      <c r="C167" s="1" t="s">
        <v>42</v>
      </c>
      <c r="D167" s="1" t="s">
        <v>1030</v>
      </c>
      <c r="E167" s="6" t="s">
        <v>1031</v>
      </c>
      <c r="F167" s="6" t="s">
        <v>1033</v>
      </c>
      <c r="G167" s="36">
        <v>5.6330496082953339</v>
      </c>
      <c r="H167" s="36">
        <v>1.6731980505066661</v>
      </c>
      <c r="I167" s="1" t="s">
        <v>911</v>
      </c>
      <c r="J167" s="36"/>
      <c r="K167" s="36"/>
      <c r="L167" s="37"/>
    </row>
    <row r="168" spans="2:12" ht="15" customHeight="1" x14ac:dyDescent="0.35">
      <c r="B168" s="28" t="s">
        <v>41</v>
      </c>
      <c r="C168" s="1" t="s">
        <v>42</v>
      </c>
      <c r="D168" s="1" t="s">
        <v>1030</v>
      </c>
      <c r="E168" s="6" t="s">
        <v>1031</v>
      </c>
      <c r="F168" s="6" t="s">
        <v>1033</v>
      </c>
      <c r="G168" s="36">
        <v>7.5877999999999979</v>
      </c>
      <c r="H168" s="36">
        <v>4.3871000000000002</v>
      </c>
      <c r="I168" s="1" t="s">
        <v>965</v>
      </c>
      <c r="J168" s="36"/>
      <c r="K168" s="36"/>
      <c r="L168" s="37"/>
    </row>
    <row r="169" spans="2:12" ht="15" customHeight="1" x14ac:dyDescent="0.35">
      <c r="B169" s="28" t="s">
        <v>41</v>
      </c>
      <c r="C169" s="1" t="s">
        <v>42</v>
      </c>
      <c r="D169" s="1" t="s">
        <v>1030</v>
      </c>
      <c r="E169" s="6" t="s">
        <v>1031</v>
      </c>
      <c r="F169" s="6" t="s">
        <v>1033</v>
      </c>
      <c r="G169" s="36">
        <v>7.2636000000000003</v>
      </c>
      <c r="H169" s="36">
        <v>4.2807000000000004</v>
      </c>
      <c r="I169" s="1" t="s">
        <v>966</v>
      </c>
      <c r="J169" s="36"/>
      <c r="K169" s="36"/>
      <c r="L169" s="37"/>
    </row>
    <row r="170" spans="2:12" ht="15" customHeight="1" thickBot="1" x14ac:dyDescent="0.4">
      <c r="B170" s="29" t="s">
        <v>41</v>
      </c>
      <c r="C170" s="39" t="s">
        <v>42</v>
      </c>
      <c r="D170" s="39" t="s">
        <v>1030</v>
      </c>
      <c r="E170" s="40" t="s">
        <v>1031</v>
      </c>
      <c r="F170" s="40" t="s">
        <v>1034</v>
      </c>
      <c r="G170" s="41">
        <v>4.7632269928790283</v>
      </c>
      <c r="H170" s="41">
        <v>3.9919413448581578</v>
      </c>
      <c r="I170" s="39" t="s">
        <v>923</v>
      </c>
      <c r="J170" s="41">
        <v>4.7632269928790283</v>
      </c>
      <c r="K170" s="41">
        <v>3.9919413448581578</v>
      </c>
      <c r="L170" s="42" t="s">
        <v>929</v>
      </c>
    </row>
    <row r="171" spans="2:12" ht="15" customHeight="1" x14ac:dyDescent="0.35">
      <c r="E171" s="5" t="s">
        <v>1599</v>
      </c>
      <c r="G171" s="36">
        <f>AVERAGE(G164:G170)</f>
        <v>5.5332173763689978</v>
      </c>
      <c r="H171" s="36">
        <f>AVERAGE(H164:H170)</f>
        <v>3.3568650992162445</v>
      </c>
      <c r="L171" s="43" t="s">
        <v>929</v>
      </c>
    </row>
    <row r="172" spans="2:12" ht="15" customHeight="1" thickBot="1" x14ac:dyDescent="0.4"/>
    <row r="173" spans="2:12" ht="15" customHeight="1" x14ac:dyDescent="0.35">
      <c r="B173" s="30" t="s">
        <v>41</v>
      </c>
      <c r="C173" s="32" t="s">
        <v>1035</v>
      </c>
      <c r="D173" s="32" t="s">
        <v>1036</v>
      </c>
      <c r="E173" s="33" t="s">
        <v>1037</v>
      </c>
      <c r="F173" s="33" t="s">
        <v>1038</v>
      </c>
      <c r="G173" s="34">
        <v>4.5330211355159484</v>
      </c>
      <c r="H173" s="34">
        <v>-1.5515000000000003</v>
      </c>
      <c r="I173" s="32" t="s">
        <v>964</v>
      </c>
      <c r="J173" s="34">
        <f>AVERAGE(G173,G174,G175,G176)</f>
        <v>3.7682823183575702</v>
      </c>
      <c r="K173" s="34">
        <f>AVERAGE(H173,H174,H175,H176)</f>
        <v>-1.1106443223691138</v>
      </c>
      <c r="L173" s="35" t="s">
        <v>912</v>
      </c>
    </row>
    <row r="174" spans="2:12" ht="15" customHeight="1" x14ac:dyDescent="0.35">
      <c r="B174" s="28" t="s">
        <v>41</v>
      </c>
      <c r="C174" s="1" t="s">
        <v>1035</v>
      </c>
      <c r="D174" s="1" t="s">
        <v>1036</v>
      </c>
      <c r="E174" s="6" t="s">
        <v>1037</v>
      </c>
      <c r="F174" s="6" t="s">
        <v>1038</v>
      </c>
      <c r="G174" s="36">
        <v>5.8432695948553039</v>
      </c>
      <c r="H174" s="36">
        <v>-0.9040283928933337</v>
      </c>
      <c r="I174" s="1" t="s">
        <v>1039</v>
      </c>
      <c r="J174" s="36"/>
      <c r="K174" s="36"/>
      <c r="L174" s="37"/>
    </row>
    <row r="175" spans="2:12" ht="15" customHeight="1" x14ac:dyDescent="0.35">
      <c r="B175" s="28" t="s">
        <v>41</v>
      </c>
      <c r="C175" s="1" t="s">
        <v>1035</v>
      </c>
      <c r="D175" s="1" t="s">
        <v>1036</v>
      </c>
      <c r="E175" s="6" t="s">
        <v>1037</v>
      </c>
      <c r="F175" s="6" t="s">
        <v>1038</v>
      </c>
      <c r="G175" s="36">
        <v>2.4807889347636944</v>
      </c>
      <c r="H175" s="36">
        <v>0.97675305291021264</v>
      </c>
      <c r="I175" s="1" t="s">
        <v>925</v>
      </c>
      <c r="J175" s="36"/>
      <c r="K175" s="36"/>
      <c r="L175" s="37"/>
    </row>
    <row r="176" spans="2:12" ht="15" customHeight="1" x14ac:dyDescent="0.35">
      <c r="B176" s="28" t="s">
        <v>41</v>
      </c>
      <c r="C176" s="1" t="s">
        <v>1035</v>
      </c>
      <c r="D176" s="1" t="s">
        <v>1036</v>
      </c>
      <c r="E176" s="6" t="s">
        <v>1037</v>
      </c>
      <c r="F176" s="6" t="s">
        <v>1038</v>
      </c>
      <c r="G176" s="36">
        <v>2.2160496082953336</v>
      </c>
      <c r="H176" s="36">
        <v>-2.9638019494933339</v>
      </c>
      <c r="I176" s="1" t="s">
        <v>911</v>
      </c>
      <c r="J176" s="36"/>
      <c r="K176" s="36"/>
      <c r="L176" s="37"/>
    </row>
    <row r="177" spans="2:12" ht="15" customHeight="1" x14ac:dyDescent="0.35">
      <c r="B177" s="28" t="s">
        <v>41</v>
      </c>
      <c r="C177" s="1" t="s">
        <v>1653</v>
      </c>
      <c r="D177" s="1" t="s">
        <v>1036</v>
      </c>
      <c r="E177" s="6" t="s">
        <v>1037</v>
      </c>
      <c r="F177" s="6" t="s">
        <v>1040</v>
      </c>
      <c r="G177" s="36">
        <v>7.6366970508120033</v>
      </c>
      <c r="H177" s="36">
        <v>1.2948372000001207E-3</v>
      </c>
      <c r="I177" s="1" t="s">
        <v>1041</v>
      </c>
      <c r="J177" s="36">
        <v>7.6366970508120033</v>
      </c>
      <c r="K177" s="36">
        <v>1.2948372000001207E-3</v>
      </c>
      <c r="L177" s="68" t="s">
        <v>1042</v>
      </c>
    </row>
    <row r="178" spans="2:12" ht="15" customHeight="1" x14ac:dyDescent="0.35">
      <c r="B178" s="28" t="s">
        <v>41</v>
      </c>
      <c r="C178" s="1" t="s">
        <v>1035</v>
      </c>
      <c r="D178" s="1" t="s">
        <v>1036</v>
      </c>
      <c r="E178" s="6" t="s">
        <v>1037</v>
      </c>
      <c r="F178" s="6" t="s">
        <v>1043</v>
      </c>
      <c r="G178" s="36">
        <v>3.2333095734553332</v>
      </c>
      <c r="H178" s="36">
        <v>-2.5718206127466661</v>
      </c>
      <c r="I178" s="1" t="s">
        <v>924</v>
      </c>
      <c r="J178" s="36">
        <f>AVERAGE(G179,G178)</f>
        <v>4.1436761671116802</v>
      </c>
      <c r="K178" s="36">
        <f>AVERAGE(H178,H179)</f>
        <v>-0.25757697303999971</v>
      </c>
      <c r="L178" s="56" t="s">
        <v>912</v>
      </c>
    </row>
    <row r="179" spans="2:12" ht="15" customHeight="1" thickBot="1" x14ac:dyDescent="0.4">
      <c r="B179" s="29" t="s">
        <v>41</v>
      </c>
      <c r="C179" s="39" t="s">
        <v>1035</v>
      </c>
      <c r="D179" s="39" t="s">
        <v>1044</v>
      </c>
      <c r="E179" s="40" t="s">
        <v>1037</v>
      </c>
      <c r="F179" s="40" t="s">
        <v>1043</v>
      </c>
      <c r="G179" s="41">
        <v>5.0540427607680272</v>
      </c>
      <c r="H179" s="41">
        <v>2.0566666666666666</v>
      </c>
      <c r="I179" s="39" t="s">
        <v>921</v>
      </c>
      <c r="J179" s="41"/>
      <c r="K179" s="41"/>
      <c r="L179" s="51"/>
    </row>
    <row r="180" spans="2:12" ht="15" customHeight="1" x14ac:dyDescent="0.35">
      <c r="E180" s="5" t="s">
        <v>1601</v>
      </c>
      <c r="G180" s="36">
        <f>AVERAGE(G173:G179)</f>
        <v>4.4281683797808062</v>
      </c>
      <c r="H180" s="36">
        <f>AVERAGE(H173:H179)</f>
        <v>-0.70806234262235079</v>
      </c>
      <c r="L180" s="52" t="s">
        <v>912</v>
      </c>
    </row>
    <row r="181" spans="2:12" ht="15" customHeight="1" thickBot="1" x14ac:dyDescent="0.4"/>
    <row r="182" spans="2:12" ht="15" customHeight="1" x14ac:dyDescent="0.35">
      <c r="B182" s="30" t="s">
        <v>45</v>
      </c>
      <c r="C182" s="32" t="s">
        <v>1654</v>
      </c>
      <c r="D182" s="32" t="s">
        <v>1045</v>
      </c>
      <c r="E182" s="33"/>
      <c r="F182" s="33"/>
      <c r="G182" s="34">
        <v>6.1277572290409843</v>
      </c>
      <c r="H182" s="34">
        <v>3.8585000000000003</v>
      </c>
      <c r="I182" s="32" t="s">
        <v>964</v>
      </c>
      <c r="J182" s="34">
        <v>5.2030586185404886</v>
      </c>
      <c r="K182" s="34">
        <v>3.4698524685624839</v>
      </c>
      <c r="L182" s="60" t="s">
        <v>929</v>
      </c>
    </row>
    <row r="183" spans="2:12" ht="15" customHeight="1" x14ac:dyDescent="0.35">
      <c r="B183" s="28" t="s">
        <v>45</v>
      </c>
      <c r="C183" s="1" t="s">
        <v>44</v>
      </c>
      <c r="D183" s="1" t="s">
        <v>1046</v>
      </c>
      <c r="G183" s="36">
        <v>4.10661862658048</v>
      </c>
      <c r="H183" s="36">
        <v>2.2706574056874507</v>
      </c>
      <c r="I183" s="1" t="s">
        <v>923</v>
      </c>
      <c r="J183" s="36"/>
      <c r="K183" s="36"/>
      <c r="L183" s="37"/>
    </row>
    <row r="184" spans="2:12" ht="15" customHeight="1" x14ac:dyDescent="0.35">
      <c r="B184" s="28" t="s">
        <v>45</v>
      </c>
      <c r="C184" s="1" t="s">
        <v>44</v>
      </c>
      <c r="D184" s="1" t="s">
        <v>1046</v>
      </c>
      <c r="G184" s="36">
        <v>5.3748000000000005</v>
      </c>
      <c r="H184" s="36">
        <v>4.2804000000000002</v>
      </c>
      <c r="I184" s="1" t="s">
        <v>966</v>
      </c>
      <c r="J184" s="36"/>
      <c r="K184" s="36"/>
      <c r="L184" s="37"/>
    </row>
    <row r="185" spans="2:12" ht="15" customHeight="1" x14ac:dyDescent="0.35">
      <c r="B185" s="28" t="s">
        <v>45</v>
      </c>
      <c r="C185" s="1" t="s">
        <v>44</v>
      </c>
      <c r="D185" s="1" t="s">
        <v>1046</v>
      </c>
      <c r="E185" s="6" t="s">
        <v>1047</v>
      </c>
      <c r="F185" s="6" t="s">
        <v>1048</v>
      </c>
      <c r="G185" s="36">
        <v>6.5208367330246269</v>
      </c>
      <c r="H185" s="36">
        <v>3.0170690611111111</v>
      </c>
      <c r="I185" s="1" t="s">
        <v>973</v>
      </c>
      <c r="J185" s="36">
        <v>7.8369683665123127</v>
      </c>
      <c r="K185" s="36">
        <v>4.9309345305555556</v>
      </c>
      <c r="L185" s="55" t="s">
        <v>948</v>
      </c>
    </row>
    <row r="186" spans="2:12" ht="15" customHeight="1" x14ac:dyDescent="0.35">
      <c r="B186" s="28" t="s">
        <v>45</v>
      </c>
      <c r="C186" s="1" t="s">
        <v>44</v>
      </c>
      <c r="D186" s="1" t="s">
        <v>1046</v>
      </c>
      <c r="E186" s="6" t="s">
        <v>1047</v>
      </c>
      <c r="F186" s="6" t="s">
        <v>1048</v>
      </c>
      <c r="G186" s="36">
        <v>9.1530999999999985</v>
      </c>
      <c r="H186" s="36">
        <v>6.8448000000000002</v>
      </c>
      <c r="I186" s="1" t="s">
        <v>965</v>
      </c>
      <c r="J186" s="36"/>
      <c r="K186" s="36"/>
      <c r="L186" s="37"/>
    </row>
    <row r="187" spans="2:12" ht="15" customHeight="1" x14ac:dyDescent="0.35">
      <c r="B187" s="28" t="s">
        <v>45</v>
      </c>
      <c r="C187" s="1" t="s">
        <v>44</v>
      </c>
      <c r="D187" s="1" t="s">
        <v>1046</v>
      </c>
      <c r="E187" s="6" t="s">
        <v>1047</v>
      </c>
      <c r="F187" s="6" t="s">
        <v>1049</v>
      </c>
      <c r="G187" s="36">
        <v>4.6662947408931359</v>
      </c>
      <c r="H187" s="36">
        <v>2.8554579499999999</v>
      </c>
      <c r="I187" s="1" t="s">
        <v>973</v>
      </c>
      <c r="J187" s="36">
        <v>4.4924749427804134</v>
      </c>
      <c r="K187" s="36">
        <v>3.3562255645302823</v>
      </c>
      <c r="L187" s="53" t="s">
        <v>929</v>
      </c>
    </row>
    <row r="188" spans="2:12" ht="15" customHeight="1" x14ac:dyDescent="0.35">
      <c r="B188" s="28" t="s">
        <v>45</v>
      </c>
      <c r="C188" s="1" t="s">
        <v>44</v>
      </c>
      <c r="D188" s="1" t="s">
        <v>1046</v>
      </c>
      <c r="E188" s="6" t="s">
        <v>1047</v>
      </c>
      <c r="F188" s="6" t="s">
        <v>1049</v>
      </c>
      <c r="G188" s="36">
        <v>4.0841132645991784</v>
      </c>
      <c r="H188" s="36">
        <v>3.6044818464544619</v>
      </c>
      <c r="I188" s="1" t="s">
        <v>925</v>
      </c>
      <c r="J188" s="36"/>
      <c r="K188" s="36"/>
      <c r="L188" s="37"/>
    </row>
    <row r="189" spans="2:12" ht="15" customHeight="1" x14ac:dyDescent="0.35">
      <c r="B189" s="28" t="s">
        <v>45</v>
      </c>
      <c r="C189" s="1" t="s">
        <v>44</v>
      </c>
      <c r="D189" s="1" t="s">
        <v>1046</v>
      </c>
      <c r="E189" s="6" t="s">
        <v>1047</v>
      </c>
      <c r="F189" s="6" t="s">
        <v>1049</v>
      </c>
      <c r="G189" s="36">
        <v>4.5531970247362032</v>
      </c>
      <c r="H189" s="36">
        <v>4.0694166666666671</v>
      </c>
      <c r="I189" s="1" t="s">
        <v>921</v>
      </c>
      <c r="J189" s="36"/>
      <c r="K189" s="36"/>
      <c r="L189" s="37"/>
    </row>
    <row r="190" spans="2:12" ht="15" customHeight="1" x14ac:dyDescent="0.35">
      <c r="B190" s="28" t="s">
        <v>45</v>
      </c>
      <c r="C190" s="1" t="s">
        <v>44</v>
      </c>
      <c r="D190" s="1" t="s">
        <v>1046</v>
      </c>
      <c r="E190" s="6" t="s">
        <v>1047</v>
      </c>
      <c r="F190" s="6" t="s">
        <v>1049</v>
      </c>
      <c r="G190" s="36">
        <v>4.6662947408931359</v>
      </c>
      <c r="H190" s="36">
        <v>2.8955457950000003</v>
      </c>
      <c r="I190" s="1" t="s">
        <v>1050</v>
      </c>
      <c r="J190" s="36"/>
      <c r="K190" s="36"/>
      <c r="L190" s="37"/>
    </row>
    <row r="191" spans="2:12" ht="15" customHeight="1" x14ac:dyDescent="0.35">
      <c r="B191" s="28" t="s">
        <v>45</v>
      </c>
      <c r="C191" s="1" t="s">
        <v>44</v>
      </c>
      <c r="D191" s="1" t="s">
        <v>1046</v>
      </c>
      <c r="E191" s="6" t="s">
        <v>1047</v>
      </c>
      <c r="F191" s="6" t="s">
        <v>1051</v>
      </c>
      <c r="G191" s="36">
        <v>4.3325243918670182</v>
      </c>
      <c r="H191" s="36">
        <v>2.7224864396570392</v>
      </c>
      <c r="I191" s="1" t="s">
        <v>975</v>
      </c>
      <c r="J191" s="36">
        <v>4.3325243918670182</v>
      </c>
      <c r="K191" s="36">
        <v>2.7224864396570392</v>
      </c>
      <c r="L191" s="53" t="s">
        <v>929</v>
      </c>
    </row>
    <row r="192" spans="2:12" ht="15" customHeight="1" x14ac:dyDescent="0.35">
      <c r="B192" s="28" t="s">
        <v>45</v>
      </c>
      <c r="C192" s="1" t="s">
        <v>44</v>
      </c>
      <c r="D192" s="1" t="s">
        <v>1046</v>
      </c>
      <c r="E192" s="6" t="s">
        <v>1047</v>
      </c>
      <c r="F192" s="6" t="s">
        <v>1052</v>
      </c>
      <c r="G192" s="36">
        <v>8.5398067507219633</v>
      </c>
      <c r="H192" s="36">
        <v>4.8387628403733327</v>
      </c>
      <c r="I192" s="1" t="s">
        <v>999</v>
      </c>
      <c r="J192" s="36">
        <v>8.5398067507219633</v>
      </c>
      <c r="K192" s="36">
        <v>4.8387628403733327</v>
      </c>
      <c r="L192" s="55" t="s">
        <v>948</v>
      </c>
    </row>
    <row r="193" spans="2:12" ht="15" customHeight="1" x14ac:dyDescent="0.35">
      <c r="B193" s="28" t="s">
        <v>45</v>
      </c>
      <c r="C193" s="1" t="s">
        <v>44</v>
      </c>
      <c r="D193" s="1" t="s">
        <v>1046</v>
      </c>
      <c r="E193" s="6" t="s">
        <v>1047</v>
      </c>
      <c r="F193" s="6" t="s">
        <v>1053</v>
      </c>
      <c r="G193" s="36">
        <v>3.4443367330246275</v>
      </c>
      <c r="H193" s="36">
        <v>1.3591246166666666</v>
      </c>
      <c r="I193" s="1" t="s">
        <v>973</v>
      </c>
      <c r="J193" s="36">
        <v>3.4443367330246275</v>
      </c>
      <c r="K193" s="36">
        <v>1.3591246166666666</v>
      </c>
      <c r="L193" s="56" t="s">
        <v>912</v>
      </c>
    </row>
    <row r="194" spans="2:12" ht="15" customHeight="1" x14ac:dyDescent="0.35">
      <c r="B194" s="28" t="s">
        <v>45</v>
      </c>
      <c r="C194" s="1" t="s">
        <v>44</v>
      </c>
      <c r="D194" s="1" t="s">
        <v>1046</v>
      </c>
      <c r="E194" s="6" t="s">
        <v>1047</v>
      </c>
      <c r="F194" s="6" t="s">
        <v>1054</v>
      </c>
      <c r="G194" s="36">
        <v>7.8288620165219616</v>
      </c>
      <c r="H194" s="36">
        <v>4.5478399776266665</v>
      </c>
      <c r="I194" s="1" t="s">
        <v>999</v>
      </c>
      <c r="J194" s="36">
        <v>6.1911636843264803</v>
      </c>
      <c r="K194" s="36">
        <v>3.8724195756193174</v>
      </c>
      <c r="L194" s="53" t="s">
        <v>929</v>
      </c>
    </row>
    <row r="195" spans="2:12" ht="15" customHeight="1" x14ac:dyDescent="0.35">
      <c r="B195" s="28" t="s">
        <v>45</v>
      </c>
      <c r="C195" s="1" t="s">
        <v>44</v>
      </c>
      <c r="D195" s="1" t="s">
        <v>1046</v>
      </c>
      <c r="E195" s="6" t="s">
        <v>1047</v>
      </c>
      <c r="F195" s="6" t="s">
        <v>1054</v>
      </c>
      <c r="G195" s="36">
        <v>4.5534653521309991</v>
      </c>
      <c r="H195" s="36">
        <v>3.1969991736119683</v>
      </c>
      <c r="I195" s="1" t="s">
        <v>925</v>
      </c>
      <c r="J195" s="36"/>
      <c r="K195" s="36"/>
      <c r="L195" s="37"/>
    </row>
    <row r="196" spans="2:12" ht="15" customHeight="1" x14ac:dyDescent="0.35">
      <c r="B196" s="28" t="s">
        <v>45</v>
      </c>
      <c r="C196" s="1" t="s">
        <v>44</v>
      </c>
      <c r="D196" s="1" t="s">
        <v>1046</v>
      </c>
      <c r="E196" s="6" t="s">
        <v>1047</v>
      </c>
      <c r="F196" s="6" t="s">
        <v>1055</v>
      </c>
      <c r="G196" s="36">
        <v>3.0090666666666657</v>
      </c>
      <c r="H196" s="36">
        <v>2.7344166666666672</v>
      </c>
      <c r="I196" s="1" t="s">
        <v>921</v>
      </c>
      <c r="J196" s="36">
        <v>3.0090666666666657</v>
      </c>
      <c r="K196" s="36">
        <v>2.7344166666666672</v>
      </c>
      <c r="L196" s="53" t="s">
        <v>929</v>
      </c>
    </row>
    <row r="197" spans="2:12" ht="15" customHeight="1" x14ac:dyDescent="0.35">
      <c r="B197" s="28" t="s">
        <v>45</v>
      </c>
      <c r="C197" s="1" t="s">
        <v>44</v>
      </c>
      <c r="D197" s="1" t="s">
        <v>1046</v>
      </c>
      <c r="E197" s="6" t="s">
        <v>1056</v>
      </c>
      <c r="F197" s="6" t="s">
        <v>1057</v>
      </c>
      <c r="G197" s="36">
        <v>4.376634894322418</v>
      </c>
      <c r="H197" s="36">
        <v>7.4730000000000008</v>
      </c>
      <c r="I197" s="1" t="s">
        <v>1058</v>
      </c>
      <c r="J197" s="36">
        <v>4.4337463738085345</v>
      </c>
      <c r="K197" s="36">
        <v>6.4617777777777787</v>
      </c>
      <c r="L197" s="38" t="s">
        <v>918</v>
      </c>
    </row>
    <row r="198" spans="2:12" ht="15" customHeight="1" x14ac:dyDescent="0.35">
      <c r="B198" s="28" t="s">
        <v>45</v>
      </c>
      <c r="C198" s="1" t="s">
        <v>44</v>
      </c>
      <c r="D198" s="1" t="s">
        <v>1046</v>
      </c>
      <c r="E198" s="6" t="s">
        <v>1056</v>
      </c>
      <c r="F198" s="6" t="s">
        <v>1057</v>
      </c>
      <c r="G198" s="36">
        <v>4.9286904268545335</v>
      </c>
      <c r="H198" s="36">
        <v>6.293333333333333</v>
      </c>
      <c r="I198" s="1" t="s">
        <v>992</v>
      </c>
      <c r="J198" s="36"/>
      <c r="K198" s="36"/>
      <c r="L198" s="37"/>
    </row>
    <row r="199" spans="2:12" ht="15" customHeight="1" x14ac:dyDescent="0.35">
      <c r="B199" s="28" t="s">
        <v>45</v>
      </c>
      <c r="C199" s="1" t="s">
        <v>44</v>
      </c>
      <c r="D199" s="1" t="s">
        <v>1046</v>
      </c>
      <c r="E199" s="6" t="s">
        <v>1056</v>
      </c>
      <c r="F199" s="6" t="s">
        <v>1057</v>
      </c>
      <c r="G199" s="36">
        <v>3.9959138002486512</v>
      </c>
      <c r="H199" s="36">
        <v>5.6189999999999998</v>
      </c>
      <c r="I199" s="1" t="s">
        <v>989</v>
      </c>
      <c r="J199" s="36"/>
      <c r="K199" s="36"/>
      <c r="L199" s="37"/>
    </row>
    <row r="200" spans="2:12" ht="15" customHeight="1" x14ac:dyDescent="0.35">
      <c r="B200" s="28" t="s">
        <v>45</v>
      </c>
      <c r="C200" s="1" t="s">
        <v>44</v>
      </c>
      <c r="D200" s="1" t="s">
        <v>1046</v>
      </c>
      <c r="E200" s="6" t="s">
        <v>1059</v>
      </c>
      <c r="F200" s="6" t="s">
        <v>1060</v>
      </c>
      <c r="G200" s="36">
        <v>5.1000496082953335</v>
      </c>
      <c r="H200" s="36">
        <v>4.8501980505066662</v>
      </c>
      <c r="I200" s="1" t="s">
        <v>911</v>
      </c>
      <c r="J200" s="36">
        <v>5.1000496082953335</v>
      </c>
      <c r="K200" s="36">
        <v>4.8501980505066662</v>
      </c>
      <c r="L200" s="53" t="s">
        <v>929</v>
      </c>
    </row>
    <row r="201" spans="2:12" ht="15" customHeight="1" x14ac:dyDescent="0.35">
      <c r="B201" s="28" t="s">
        <v>45</v>
      </c>
      <c r="C201" s="1" t="s">
        <v>44</v>
      </c>
      <c r="D201" s="1" t="s">
        <v>1046</v>
      </c>
      <c r="E201" s="6" t="s">
        <v>1059</v>
      </c>
      <c r="F201" s="6" t="s">
        <v>1061</v>
      </c>
      <c r="G201" s="36">
        <v>4.4523623122907372</v>
      </c>
      <c r="H201" s="36">
        <v>8.975600592426316</v>
      </c>
      <c r="I201" s="1" t="s">
        <v>923</v>
      </c>
      <c r="J201" s="36">
        <v>4.4523623122907372</v>
      </c>
      <c r="K201" s="36">
        <v>8.975600592426316</v>
      </c>
      <c r="L201" s="38" t="s">
        <v>918</v>
      </c>
    </row>
    <row r="202" spans="2:12" ht="15" customHeight="1" x14ac:dyDescent="0.35">
      <c r="B202" s="28" t="s">
        <v>45</v>
      </c>
      <c r="C202" s="1" t="s">
        <v>44</v>
      </c>
      <c r="D202" s="1" t="s">
        <v>1046</v>
      </c>
      <c r="E202" s="6" t="s">
        <v>1062</v>
      </c>
      <c r="F202" s="6" t="s">
        <v>1063</v>
      </c>
      <c r="G202" s="36">
        <v>6.043049608295334</v>
      </c>
      <c r="H202" s="36">
        <v>7.1351980505066663</v>
      </c>
      <c r="I202" s="1" t="s">
        <v>944</v>
      </c>
      <c r="J202" s="36">
        <v>5.1869096164638755</v>
      </c>
      <c r="K202" s="36">
        <v>5.601807358586667</v>
      </c>
      <c r="L202" s="38" t="s">
        <v>918</v>
      </c>
    </row>
    <row r="203" spans="2:12" ht="15" customHeight="1" x14ac:dyDescent="0.35">
      <c r="B203" s="28" t="s">
        <v>45</v>
      </c>
      <c r="C203" s="1" t="s">
        <v>44</v>
      </c>
      <c r="D203" s="1" t="s">
        <v>1046</v>
      </c>
      <c r="E203" s="6" t="s">
        <v>1062</v>
      </c>
      <c r="F203" s="6" t="s">
        <v>1063</v>
      </c>
      <c r="G203" s="36">
        <v>4.330769624632417</v>
      </c>
      <c r="H203" s="36">
        <v>4.0684166666666668</v>
      </c>
      <c r="I203" s="1" t="s">
        <v>921</v>
      </c>
      <c r="J203" s="36"/>
      <c r="K203" s="36"/>
      <c r="L203" s="37"/>
    </row>
    <row r="204" spans="2:12" ht="15" customHeight="1" x14ac:dyDescent="0.35">
      <c r="B204" s="28" t="s">
        <v>45</v>
      </c>
      <c r="C204" s="1" t="s">
        <v>44</v>
      </c>
      <c r="D204" s="1" t="s">
        <v>1046</v>
      </c>
      <c r="E204" s="6" t="s">
        <v>1064</v>
      </c>
      <c r="F204" s="6" t="s">
        <v>1065</v>
      </c>
      <c r="G204" s="36">
        <v>2.0484343036132131</v>
      </c>
      <c r="H204" s="36">
        <v>2.3987947408931358</v>
      </c>
      <c r="I204" s="1" t="s">
        <v>1066</v>
      </c>
      <c r="J204" s="36">
        <v>2.363890626358117</v>
      </c>
      <c r="K204" s="36">
        <v>3.9552378220914366</v>
      </c>
      <c r="L204" s="53" t="s">
        <v>929</v>
      </c>
    </row>
    <row r="205" spans="2:12" ht="15" customHeight="1" thickBot="1" x14ac:dyDescent="0.4">
      <c r="B205" s="29" t="s">
        <v>45</v>
      </c>
      <c r="C205" s="39" t="s">
        <v>44</v>
      </c>
      <c r="D205" s="39" t="s">
        <v>1046</v>
      </c>
      <c r="E205" s="40" t="s">
        <v>1064</v>
      </c>
      <c r="F205" s="40" t="s">
        <v>1065</v>
      </c>
      <c r="G205" s="41">
        <v>2.6793469491030208</v>
      </c>
      <c r="H205" s="41">
        <v>5.5116809032897374</v>
      </c>
      <c r="I205" s="39" t="s">
        <v>925</v>
      </c>
      <c r="J205" s="41"/>
      <c r="K205" s="41"/>
      <c r="L205" s="51"/>
    </row>
    <row r="206" spans="2:12" ht="15" customHeight="1" x14ac:dyDescent="0.35">
      <c r="D206" s="4" t="s">
        <v>1656</v>
      </c>
      <c r="E206" s="6" t="s">
        <v>1603</v>
      </c>
      <c r="G206" s="36">
        <f>AVERAGE(G182:G205)</f>
        <v>4.9548469082648605</v>
      </c>
      <c r="H206" s="36">
        <f>AVERAGE(H182:H205)</f>
        <v>4.3925491990476901</v>
      </c>
      <c r="L206" s="43" t="s">
        <v>929</v>
      </c>
    </row>
    <row r="207" spans="2:12" ht="15" customHeight="1" x14ac:dyDescent="0.35">
      <c r="D207" s="4" t="s">
        <v>1658</v>
      </c>
      <c r="E207" s="6" t="s">
        <v>1655</v>
      </c>
      <c r="G207" s="36">
        <f>AVERAGE(G182:G205)</f>
        <v>4.9548469082648605</v>
      </c>
      <c r="H207" s="36">
        <f>AVERAGE(H182:H205)</f>
        <v>4.3925491990476901</v>
      </c>
      <c r="L207" s="43" t="s">
        <v>929</v>
      </c>
    </row>
    <row r="208" spans="2:12" ht="15" customHeight="1" x14ac:dyDescent="0.35">
      <c r="D208" s="4" t="s">
        <v>1067</v>
      </c>
      <c r="G208" s="36"/>
      <c r="H208" s="36"/>
    </row>
    <row r="209" spans="2:12" ht="15" customHeight="1" thickBot="1" x14ac:dyDescent="0.4"/>
    <row r="210" spans="2:12" ht="15" customHeight="1" x14ac:dyDescent="0.35">
      <c r="B210" s="30" t="s">
        <v>45</v>
      </c>
      <c r="C210" s="32" t="s">
        <v>1657</v>
      </c>
      <c r="D210" s="32" t="s">
        <v>1068</v>
      </c>
      <c r="E210" s="33" t="s">
        <v>1069</v>
      </c>
      <c r="F210" s="33" t="s">
        <v>1070</v>
      </c>
      <c r="G210" s="34">
        <v>5.305435623839081</v>
      </c>
      <c r="H210" s="34">
        <v>2.1047947408931362</v>
      </c>
      <c r="I210" s="32" t="s">
        <v>1050</v>
      </c>
      <c r="J210" s="34">
        <v>5.305435623839081</v>
      </c>
      <c r="K210" s="34">
        <v>2.1047947408931362</v>
      </c>
      <c r="L210" s="60" t="s">
        <v>929</v>
      </c>
    </row>
    <row r="211" spans="2:12" ht="15" customHeight="1" thickBot="1" x14ac:dyDescent="0.4">
      <c r="B211" s="29" t="s">
        <v>45</v>
      </c>
      <c r="C211" s="39" t="s">
        <v>46</v>
      </c>
      <c r="D211" s="39" t="s">
        <v>1068</v>
      </c>
      <c r="E211" s="40" t="s">
        <v>1069</v>
      </c>
      <c r="F211" s="40" t="s">
        <v>1071</v>
      </c>
      <c r="G211" s="41">
        <v>3.985890659999999</v>
      </c>
      <c r="H211" s="41">
        <v>1.9826868420000001</v>
      </c>
      <c r="I211" s="39" t="s">
        <v>928</v>
      </c>
      <c r="J211" s="41">
        <v>3.985890659999999</v>
      </c>
      <c r="K211" s="41">
        <v>1.9826868420000001</v>
      </c>
      <c r="L211" s="42" t="s">
        <v>929</v>
      </c>
    </row>
    <row r="212" spans="2:12" ht="15" customHeight="1" x14ac:dyDescent="0.35">
      <c r="E212" s="5" t="s">
        <v>1605</v>
      </c>
      <c r="G212" s="36">
        <f>AVERAGE(G210:G211)</f>
        <v>4.64566314191954</v>
      </c>
      <c r="H212" s="36">
        <f>AVERAGE(H210:H211)</f>
        <v>2.0437407914465684</v>
      </c>
      <c r="L212" s="43" t="s">
        <v>929</v>
      </c>
    </row>
    <row r="213" spans="2:12" ht="15" customHeight="1" thickBot="1" x14ac:dyDescent="0.4"/>
    <row r="214" spans="2:12" ht="15" customHeight="1" x14ac:dyDescent="0.35">
      <c r="B214" s="30" t="s">
        <v>45</v>
      </c>
      <c r="C214" s="32" t="s">
        <v>1072</v>
      </c>
      <c r="D214" s="32" t="s">
        <v>1073</v>
      </c>
      <c r="E214" s="33" t="s">
        <v>1074</v>
      </c>
      <c r="F214" s="33" t="s">
        <v>1075</v>
      </c>
      <c r="G214" s="34">
        <v>4.4399320241180931</v>
      </c>
      <c r="H214" s="34">
        <v>2.2352369404399983</v>
      </c>
      <c r="I214" s="32" t="s">
        <v>953</v>
      </c>
      <c r="J214" s="34">
        <f>AVERAGE(G214,G215,G216,G217)</f>
        <v>5.903506519862173</v>
      </c>
      <c r="K214" s="34">
        <f>AVERAGE(H214,H215,H216,H217)</f>
        <v>0.1748916964116658</v>
      </c>
      <c r="L214" s="35" t="s">
        <v>912</v>
      </c>
    </row>
    <row r="215" spans="2:12" ht="15" customHeight="1" x14ac:dyDescent="0.35">
      <c r="B215" s="28" t="s">
        <v>45</v>
      </c>
      <c r="C215" s="1" t="s">
        <v>1072</v>
      </c>
      <c r="D215" s="1" t="s">
        <v>1073</v>
      </c>
      <c r="E215" s="6" t="s">
        <v>1074</v>
      </c>
      <c r="F215" s="6" t="s">
        <v>1075</v>
      </c>
      <c r="G215" s="36">
        <v>8.0144538473432991</v>
      </c>
      <c r="H215" s="36">
        <v>-0.19374009734000097</v>
      </c>
      <c r="I215" s="1" t="s">
        <v>999</v>
      </c>
      <c r="J215" s="36"/>
      <c r="K215" s="36"/>
      <c r="L215" s="37"/>
    </row>
    <row r="216" spans="2:12" ht="15" customHeight="1" x14ac:dyDescent="0.35">
      <c r="B216" s="28" t="s">
        <v>45</v>
      </c>
      <c r="C216" s="1" t="s">
        <v>1072</v>
      </c>
      <c r="D216" s="1" t="s">
        <v>1073</v>
      </c>
      <c r="E216" s="6" t="s">
        <v>1074</v>
      </c>
      <c r="F216" s="6" t="s">
        <v>1075</v>
      </c>
      <c r="G216" s="36">
        <v>4.8302768631319992</v>
      </c>
      <c r="H216" s="36">
        <v>-3.32340166456</v>
      </c>
      <c r="I216" s="1" t="s">
        <v>1076</v>
      </c>
      <c r="J216" s="36"/>
      <c r="K216" s="36"/>
      <c r="L216" s="37"/>
    </row>
    <row r="217" spans="2:12" ht="15" customHeight="1" x14ac:dyDescent="0.35">
      <c r="B217" s="28" t="s">
        <v>45</v>
      </c>
      <c r="C217" s="1" t="s">
        <v>1072</v>
      </c>
      <c r="D217" s="1" t="s">
        <v>1073</v>
      </c>
      <c r="E217" s="6" t="s">
        <v>1074</v>
      </c>
      <c r="F217" s="6" t="s">
        <v>1075</v>
      </c>
      <c r="G217" s="36">
        <v>6.3293633448553024</v>
      </c>
      <c r="H217" s="36">
        <v>1.9814716071066658</v>
      </c>
      <c r="I217" s="1" t="s">
        <v>1039</v>
      </c>
      <c r="J217" s="36"/>
      <c r="K217" s="36"/>
      <c r="L217" s="37"/>
    </row>
    <row r="218" spans="2:12" ht="15" customHeight="1" x14ac:dyDescent="0.35">
      <c r="B218" s="28" t="s">
        <v>45</v>
      </c>
      <c r="C218" s="1" t="s">
        <v>1072</v>
      </c>
      <c r="D218" s="1" t="s">
        <v>1073</v>
      </c>
      <c r="E218" s="6" t="s">
        <v>1074</v>
      </c>
      <c r="F218" s="6" t="s">
        <v>1077</v>
      </c>
      <c r="G218" s="36">
        <v>8.6933929549402951</v>
      </c>
      <c r="H218" s="36">
        <v>0.69087540427500027</v>
      </c>
      <c r="I218" s="1" t="s">
        <v>999</v>
      </c>
      <c r="J218" s="36">
        <f>AVERAGE(G218,G219)</f>
        <v>8.1684753738548537</v>
      </c>
      <c r="K218" s="36">
        <f>AVERAGE(H218,H219)</f>
        <v>1.5731460354708338</v>
      </c>
      <c r="L218" s="55" t="s">
        <v>948</v>
      </c>
    </row>
    <row r="219" spans="2:12" ht="15" customHeight="1" x14ac:dyDescent="0.35">
      <c r="B219" s="28" t="s">
        <v>45</v>
      </c>
      <c r="C219" s="1" t="s">
        <v>1072</v>
      </c>
      <c r="D219" s="1" t="s">
        <v>1073</v>
      </c>
      <c r="E219" s="6" t="s">
        <v>1074</v>
      </c>
      <c r="F219" s="6" t="s">
        <v>1077</v>
      </c>
      <c r="G219" s="36">
        <v>7.643557792769414</v>
      </c>
      <c r="H219" s="36">
        <v>2.4554166666666672</v>
      </c>
      <c r="I219" s="1" t="s">
        <v>921</v>
      </c>
      <c r="J219" s="36"/>
      <c r="K219" s="36"/>
      <c r="L219" s="37"/>
    </row>
    <row r="220" spans="2:12" ht="15" customHeight="1" x14ac:dyDescent="0.35">
      <c r="B220" s="28" t="s">
        <v>45</v>
      </c>
      <c r="C220" s="1" t="s">
        <v>1072</v>
      </c>
      <c r="D220" s="1" t="s">
        <v>1073</v>
      </c>
      <c r="E220" s="6" t="s">
        <v>1074</v>
      </c>
      <c r="F220" s="6" t="s">
        <v>1078</v>
      </c>
      <c r="G220" s="36">
        <v>9.2080090685833031</v>
      </c>
      <c r="H220" s="36">
        <v>1.3701518687760004</v>
      </c>
      <c r="I220" s="1" t="s">
        <v>999</v>
      </c>
      <c r="J220" s="36">
        <f>AVERAGE(G220,G221,G222,G223)</f>
        <v>8.9217189338124925</v>
      </c>
      <c r="K220" s="36">
        <f>AVERAGE(H220,H221,H222,H223)</f>
        <v>2.2685421338606671</v>
      </c>
      <c r="L220" s="55" t="s">
        <v>948</v>
      </c>
    </row>
    <row r="221" spans="2:12" ht="15" customHeight="1" x14ac:dyDescent="0.35">
      <c r="B221" s="28" t="s">
        <v>45</v>
      </c>
      <c r="C221" s="1" t="s">
        <v>1072</v>
      </c>
      <c r="D221" s="1" t="s">
        <v>1073</v>
      </c>
      <c r="E221" s="6" t="s">
        <v>1074</v>
      </c>
      <c r="F221" s="6" t="s">
        <v>1078</v>
      </c>
      <c r="G221" s="36">
        <v>10.049399999999999</v>
      </c>
      <c r="H221" s="36">
        <v>2.0906000000000002</v>
      </c>
      <c r="I221" s="1" t="s">
        <v>965</v>
      </c>
      <c r="J221" s="36"/>
      <c r="K221" s="36"/>
      <c r="L221" s="37"/>
    </row>
    <row r="222" spans="2:12" ht="15" customHeight="1" x14ac:dyDescent="0.35">
      <c r="B222" s="28" t="s">
        <v>45</v>
      </c>
      <c r="C222" s="1" t="s">
        <v>1072</v>
      </c>
      <c r="D222" s="1" t="s">
        <v>1073</v>
      </c>
      <c r="E222" s="6" t="s">
        <v>1074</v>
      </c>
      <c r="F222" s="6" t="s">
        <v>1078</v>
      </c>
      <c r="G222" s="36">
        <v>8.3093000000000004</v>
      </c>
      <c r="H222" s="36">
        <v>2.9190000000000005</v>
      </c>
      <c r="I222" s="1" t="s">
        <v>966</v>
      </c>
      <c r="J222" s="36"/>
      <c r="K222" s="36"/>
      <c r="L222" s="37"/>
    </row>
    <row r="223" spans="2:12" ht="15" customHeight="1" x14ac:dyDescent="0.35">
      <c r="B223" s="28" t="s">
        <v>45</v>
      </c>
      <c r="C223" s="1" t="s">
        <v>1072</v>
      </c>
      <c r="D223" s="1" t="s">
        <v>1073</v>
      </c>
      <c r="E223" s="6" t="s">
        <v>1074</v>
      </c>
      <c r="F223" s="6" t="s">
        <v>1078</v>
      </c>
      <c r="G223" s="36">
        <v>8.1201666666666661</v>
      </c>
      <c r="H223" s="36">
        <v>2.6944166666666671</v>
      </c>
      <c r="I223" s="1" t="s">
        <v>921</v>
      </c>
      <c r="J223" s="36"/>
      <c r="K223" s="36"/>
      <c r="L223" s="37"/>
    </row>
    <row r="224" spans="2:12" ht="15" customHeight="1" x14ac:dyDescent="0.35">
      <c r="B224" s="28" t="s">
        <v>45</v>
      </c>
      <c r="C224" s="1" t="s">
        <v>1072</v>
      </c>
      <c r="D224" s="1" t="s">
        <v>1073</v>
      </c>
      <c r="E224" s="6" t="s">
        <v>1074</v>
      </c>
      <c r="F224" s="6" t="s">
        <v>1079</v>
      </c>
      <c r="G224" s="36">
        <v>4.3446617604149225</v>
      </c>
      <c r="H224" s="36">
        <v>1.5642947408931354</v>
      </c>
      <c r="I224" s="1" t="s">
        <v>1050</v>
      </c>
      <c r="J224" s="36">
        <f>AVERAGE(G224,G225,G226,G227,G228,G229)</f>
        <v>5.650032849397415</v>
      </c>
      <c r="K224" s="36">
        <f>AVERAGE(H224,H225,H226,H227,H228,H229)</f>
        <v>-1.0241466579339222</v>
      </c>
      <c r="L224" s="56" t="s">
        <v>912</v>
      </c>
    </row>
    <row r="225" spans="2:12" ht="15" customHeight="1" x14ac:dyDescent="0.35">
      <c r="B225" s="28" t="s">
        <v>45</v>
      </c>
      <c r="C225" s="1" t="s">
        <v>1072</v>
      </c>
      <c r="D225" s="1" t="s">
        <v>1073</v>
      </c>
      <c r="E225" s="6" t="s">
        <v>1074</v>
      </c>
      <c r="F225" s="6" t="s">
        <v>1079</v>
      </c>
      <c r="G225" s="36">
        <v>6.2865587684626618</v>
      </c>
      <c r="H225" s="36">
        <v>0.81800000000000006</v>
      </c>
      <c r="I225" s="1" t="s">
        <v>964</v>
      </c>
      <c r="J225" s="36"/>
      <c r="K225" s="36"/>
      <c r="L225" s="37"/>
    </row>
    <row r="226" spans="2:12" ht="15" customHeight="1" x14ac:dyDescent="0.35">
      <c r="B226" s="28" t="s">
        <v>45</v>
      </c>
      <c r="C226" s="1" t="s">
        <v>1072</v>
      </c>
      <c r="D226" s="1" t="s">
        <v>1073</v>
      </c>
      <c r="E226" s="6" t="s">
        <v>1074</v>
      </c>
      <c r="F226" s="6" t="s">
        <v>1079</v>
      </c>
      <c r="G226" s="36">
        <v>6.1105563448553024</v>
      </c>
      <c r="H226" s="36">
        <v>-2.0195283928933341</v>
      </c>
      <c r="I226" s="1" t="s">
        <v>999</v>
      </c>
      <c r="J226" s="36"/>
      <c r="K226" s="36"/>
      <c r="L226" s="37"/>
    </row>
    <row r="227" spans="2:12" ht="15" customHeight="1" x14ac:dyDescent="0.35">
      <c r="B227" s="28" t="s">
        <v>45</v>
      </c>
      <c r="C227" s="1" t="s">
        <v>1072</v>
      </c>
      <c r="D227" s="1" t="s">
        <v>1073</v>
      </c>
      <c r="E227" s="6" t="s">
        <v>1074</v>
      </c>
      <c r="F227" s="6" t="s">
        <v>1079</v>
      </c>
      <c r="G227" s="36">
        <v>4.7802138777962924</v>
      </c>
      <c r="H227" s="36">
        <v>-2.3796179027099997</v>
      </c>
      <c r="I227" s="1" t="s">
        <v>923</v>
      </c>
      <c r="J227" s="36"/>
      <c r="K227" s="36"/>
      <c r="L227" s="37"/>
    </row>
    <row r="228" spans="2:12" ht="15" customHeight="1" x14ac:dyDescent="0.35">
      <c r="B228" s="28" t="s">
        <v>45</v>
      </c>
      <c r="C228" s="1" t="s">
        <v>1072</v>
      </c>
      <c r="D228" s="1" t="s">
        <v>1073</v>
      </c>
      <c r="E228" s="6" t="s">
        <v>1074</v>
      </c>
      <c r="F228" s="6" t="s">
        <v>1079</v>
      </c>
      <c r="G228" s="36">
        <v>6.1105563448553024</v>
      </c>
      <c r="H228" s="36">
        <v>-4.1195283928933346</v>
      </c>
      <c r="I228" s="1" t="s">
        <v>1039</v>
      </c>
      <c r="J228" s="36"/>
      <c r="K228" s="36"/>
      <c r="L228" s="37"/>
    </row>
    <row r="229" spans="2:12" ht="15" customHeight="1" x14ac:dyDescent="0.35">
      <c r="B229" s="28" t="s">
        <v>45</v>
      </c>
      <c r="C229" s="1" t="s">
        <v>1072</v>
      </c>
      <c r="D229" s="1" t="s">
        <v>1073</v>
      </c>
      <c r="E229" s="6" t="s">
        <v>1074</v>
      </c>
      <c r="F229" s="6" t="s">
        <v>1079</v>
      </c>
      <c r="G229" s="36">
        <v>6.2676499999999997</v>
      </c>
      <c r="H229" s="36">
        <v>-8.49999999999973E-3</v>
      </c>
      <c r="I229" s="1" t="s">
        <v>965</v>
      </c>
      <c r="J229" s="36"/>
      <c r="K229" s="36"/>
      <c r="L229" s="37"/>
    </row>
    <row r="230" spans="2:12" ht="15" customHeight="1" x14ac:dyDescent="0.35">
      <c r="B230" s="28" t="s">
        <v>45</v>
      </c>
      <c r="C230" s="1" t="s">
        <v>1072</v>
      </c>
      <c r="D230" s="1" t="s">
        <v>1073</v>
      </c>
      <c r="E230" s="6" t="s">
        <v>1074</v>
      </c>
      <c r="F230" s="6" t="s">
        <v>1080</v>
      </c>
      <c r="G230" s="36">
        <v>3.0894350048349182</v>
      </c>
      <c r="H230" s="36">
        <v>0.77966666666666695</v>
      </c>
      <c r="I230" s="1" t="s">
        <v>992</v>
      </c>
      <c r="J230" s="36">
        <f>AVERAGE(G230,G231,G232)</f>
        <v>4.360737940295965</v>
      </c>
      <c r="K230" s="36">
        <f>AVERAGE(H230,H231,H232)</f>
        <v>-0.66795390874222216</v>
      </c>
      <c r="L230" s="56" t="s">
        <v>912</v>
      </c>
    </row>
    <row r="231" spans="2:12" ht="15" customHeight="1" x14ac:dyDescent="0.35">
      <c r="B231" s="28" t="s">
        <v>45</v>
      </c>
      <c r="C231" s="1" t="s">
        <v>1072</v>
      </c>
      <c r="D231" s="1" t="s">
        <v>1073</v>
      </c>
      <c r="E231" s="6" t="s">
        <v>1074</v>
      </c>
      <c r="F231" s="6" t="s">
        <v>1080</v>
      </c>
      <c r="G231" s="36">
        <v>4.0554014711976762</v>
      </c>
      <c r="H231" s="36">
        <v>-1.3770000000000002</v>
      </c>
      <c r="I231" s="1" t="s">
        <v>1058</v>
      </c>
      <c r="J231" s="36"/>
      <c r="K231" s="36"/>
      <c r="L231" s="37"/>
    </row>
    <row r="232" spans="2:12" ht="15" customHeight="1" x14ac:dyDescent="0.35">
      <c r="B232" s="28" t="s">
        <v>45</v>
      </c>
      <c r="C232" s="1" t="s">
        <v>1072</v>
      </c>
      <c r="D232" s="1" t="s">
        <v>1073</v>
      </c>
      <c r="E232" s="6" t="s">
        <v>1074</v>
      </c>
      <c r="F232" s="6" t="s">
        <v>1080</v>
      </c>
      <c r="G232" s="36">
        <v>5.9373773448552996</v>
      </c>
      <c r="H232" s="36">
        <v>-1.4065283928933332</v>
      </c>
      <c r="I232" s="1" t="s">
        <v>1039</v>
      </c>
      <c r="J232" s="36"/>
      <c r="K232" s="36"/>
      <c r="L232" s="37"/>
    </row>
    <row r="233" spans="2:12" ht="15" customHeight="1" x14ac:dyDescent="0.35">
      <c r="B233" s="28" t="s">
        <v>45</v>
      </c>
      <c r="C233" s="1" t="s">
        <v>1072</v>
      </c>
      <c r="D233" s="1" t="s">
        <v>1073</v>
      </c>
      <c r="E233" s="6" t="s">
        <v>1074</v>
      </c>
      <c r="F233" s="6" t="s">
        <v>1081</v>
      </c>
      <c r="G233" s="36">
        <v>5.2740496082953339</v>
      </c>
      <c r="H233" s="36">
        <v>-0.76380194949333402</v>
      </c>
      <c r="I233" s="1" t="s">
        <v>911</v>
      </c>
      <c r="J233" s="36">
        <v>5.2740496082953339</v>
      </c>
      <c r="K233" s="36">
        <v>-0.76380194949333402</v>
      </c>
      <c r="L233" s="56" t="s">
        <v>912</v>
      </c>
    </row>
    <row r="234" spans="2:12" ht="15" customHeight="1" x14ac:dyDescent="0.35">
      <c r="B234" s="28" t="s">
        <v>45</v>
      </c>
      <c r="C234" s="1" t="s">
        <v>1072</v>
      </c>
      <c r="D234" s="1" t="s">
        <v>1073</v>
      </c>
      <c r="E234" s="6" t="s">
        <v>1074</v>
      </c>
      <c r="F234" s="6" t="s">
        <v>1082</v>
      </c>
      <c r="G234" s="36">
        <v>5.1889913768566913</v>
      </c>
      <c r="H234" s="36">
        <v>2.0139860237733318</v>
      </c>
      <c r="I234" s="1" t="s">
        <v>953</v>
      </c>
      <c r="J234" s="36">
        <v>5.1889913768566913</v>
      </c>
      <c r="K234" s="36">
        <v>2.0139860237733318</v>
      </c>
      <c r="L234" s="53" t="s">
        <v>929</v>
      </c>
    </row>
    <row r="235" spans="2:12" ht="15" customHeight="1" x14ac:dyDescent="0.35">
      <c r="B235" s="28" t="s">
        <v>45</v>
      </c>
      <c r="C235" s="1" t="s">
        <v>1072</v>
      </c>
      <c r="D235" s="1" t="s">
        <v>1073</v>
      </c>
      <c r="E235" s="6" t="s">
        <v>1074</v>
      </c>
      <c r="F235" s="6" t="s">
        <v>1083</v>
      </c>
      <c r="G235" s="36">
        <v>6.383427376560153</v>
      </c>
      <c r="H235" s="36">
        <v>2.9512965832971405</v>
      </c>
      <c r="I235" s="1" t="s">
        <v>953</v>
      </c>
      <c r="J235" s="36">
        <f>AVERAGE(G235,G236,G237)</f>
        <v>7.7204571943086249</v>
      </c>
      <c r="K235" s="36">
        <f>AVERAGE(H235,H236,H237)</f>
        <v>2.8745321944323803</v>
      </c>
      <c r="L235" s="55" t="s">
        <v>948</v>
      </c>
    </row>
    <row r="236" spans="2:12" ht="15" customHeight="1" x14ac:dyDescent="0.35">
      <c r="B236" s="28" t="s">
        <v>45</v>
      </c>
      <c r="C236" s="1" t="s">
        <v>1072</v>
      </c>
      <c r="D236" s="1" t="s">
        <v>1073</v>
      </c>
      <c r="E236" s="6" t="s">
        <v>1074</v>
      </c>
      <c r="F236" s="6" t="s">
        <v>1083</v>
      </c>
      <c r="G236" s="36">
        <v>7.8985442063657203</v>
      </c>
      <c r="H236" s="36">
        <v>4.3250000000000002</v>
      </c>
      <c r="I236" s="1" t="s">
        <v>964</v>
      </c>
      <c r="J236" s="36"/>
      <c r="K236" s="36"/>
      <c r="L236" s="37"/>
    </row>
    <row r="237" spans="2:12" ht="15" customHeight="1" x14ac:dyDescent="0.35">
      <c r="B237" s="28" t="s">
        <v>45</v>
      </c>
      <c r="C237" s="1" t="s">
        <v>1072</v>
      </c>
      <c r="D237" s="1" t="s">
        <v>1073</v>
      </c>
      <c r="E237" s="6" t="s">
        <v>1074</v>
      </c>
      <c r="F237" s="6" t="s">
        <v>1083</v>
      </c>
      <c r="G237" s="36">
        <v>8.8794000000000004</v>
      </c>
      <c r="H237" s="36">
        <v>1.3473000000000006</v>
      </c>
      <c r="I237" s="1" t="s">
        <v>965</v>
      </c>
      <c r="J237" s="36"/>
      <c r="K237" s="36"/>
      <c r="L237" s="37"/>
    </row>
    <row r="238" spans="2:12" ht="15" customHeight="1" x14ac:dyDescent="0.35">
      <c r="B238" s="28" t="s">
        <v>45</v>
      </c>
      <c r="C238" s="1" t="s">
        <v>1072</v>
      </c>
      <c r="D238" s="1" t="s">
        <v>1073</v>
      </c>
      <c r="E238" s="6" t="s">
        <v>1074</v>
      </c>
      <c r="F238" s="6" t="s">
        <v>1084</v>
      </c>
      <c r="G238" s="36">
        <v>6.2601945192706161</v>
      </c>
      <c r="H238" s="36">
        <v>2.3907500000000002</v>
      </c>
      <c r="I238" s="1" t="s">
        <v>992</v>
      </c>
      <c r="J238" s="36">
        <v>6.2601945192706161</v>
      </c>
      <c r="K238" s="36">
        <v>2.3907500000000002</v>
      </c>
      <c r="L238" s="53" t="s">
        <v>929</v>
      </c>
    </row>
    <row r="239" spans="2:12" ht="15" customHeight="1" thickBot="1" x14ac:dyDescent="0.4">
      <c r="B239" s="29" t="s">
        <v>45</v>
      </c>
      <c r="C239" s="39" t="s">
        <v>1072</v>
      </c>
      <c r="D239" s="39" t="s">
        <v>1073</v>
      </c>
      <c r="E239" s="40" t="s">
        <v>1074</v>
      </c>
      <c r="F239" s="40" t="s">
        <v>1085</v>
      </c>
      <c r="G239" s="41">
        <v>5.933049608295331</v>
      </c>
      <c r="H239" s="41">
        <v>-2.9048019494933337</v>
      </c>
      <c r="I239" s="39" t="s">
        <v>944</v>
      </c>
      <c r="J239" s="41">
        <v>5.9330496082953301</v>
      </c>
      <c r="K239" s="41">
        <v>-2.9048019494933337</v>
      </c>
      <c r="L239" s="69" t="s">
        <v>960</v>
      </c>
    </row>
    <row r="240" spans="2:12" ht="15" customHeight="1" x14ac:dyDescent="0.35">
      <c r="E240" s="5" t="s">
        <v>1607</v>
      </c>
      <c r="G240" s="36">
        <f>AVERAGE(G214:G239)</f>
        <v>6.4783815452047913</v>
      </c>
      <c r="H240" s="36">
        <f>AVERAGE(H214:H239)</f>
        <v>0.54350055485710036</v>
      </c>
      <c r="L240" s="52" t="s">
        <v>912</v>
      </c>
    </row>
    <row r="241" spans="2:12" ht="15" customHeight="1" thickBot="1" x14ac:dyDescent="0.4"/>
    <row r="242" spans="2:12" ht="15" customHeight="1" x14ac:dyDescent="0.35">
      <c r="B242" s="30" t="s">
        <v>45</v>
      </c>
      <c r="C242" s="32" t="s">
        <v>48</v>
      </c>
      <c r="D242" s="32" t="s">
        <v>1086</v>
      </c>
      <c r="E242" s="33" t="s">
        <v>47</v>
      </c>
      <c r="F242" s="33" t="s">
        <v>1087</v>
      </c>
      <c r="G242" s="34">
        <v>4.2511017100000004</v>
      </c>
      <c r="H242" s="34">
        <v>0.88968684200000003</v>
      </c>
      <c r="I242" s="32" t="s">
        <v>928</v>
      </c>
      <c r="J242" s="34">
        <v>4.2511017100000004</v>
      </c>
      <c r="K242" s="34">
        <v>0.88968684200000003</v>
      </c>
      <c r="L242" s="35" t="s">
        <v>912</v>
      </c>
    </row>
    <row r="243" spans="2:12" ht="15" customHeight="1" x14ac:dyDescent="0.35">
      <c r="B243" s="28" t="s">
        <v>45</v>
      </c>
      <c r="C243" s="1" t="s">
        <v>48</v>
      </c>
      <c r="D243" s="1" t="s">
        <v>1086</v>
      </c>
      <c r="E243" s="6" t="s">
        <v>47</v>
      </c>
      <c r="F243" s="6" t="s">
        <v>1088</v>
      </c>
      <c r="G243" s="36">
        <v>5.5230496082953309</v>
      </c>
      <c r="H243" s="36">
        <v>4.9251980505066664</v>
      </c>
      <c r="I243" s="1" t="s">
        <v>944</v>
      </c>
      <c r="J243" s="36">
        <v>5.5230496082953309</v>
      </c>
      <c r="K243" s="36">
        <v>4.9251980505066664</v>
      </c>
      <c r="L243" s="53" t="s">
        <v>929</v>
      </c>
    </row>
    <row r="244" spans="2:12" ht="15" customHeight="1" x14ac:dyDescent="0.35">
      <c r="B244" s="28" t="s">
        <v>45</v>
      </c>
      <c r="C244" s="1" t="s">
        <v>48</v>
      </c>
      <c r="D244" s="1" t="s">
        <v>1086</v>
      </c>
      <c r="E244" s="6" t="s">
        <v>47</v>
      </c>
      <c r="F244" s="6" t="s">
        <v>1089</v>
      </c>
      <c r="G244" s="36">
        <v>5.8102292859296156</v>
      </c>
      <c r="H244" s="36">
        <v>5.7125808431266663</v>
      </c>
      <c r="I244" s="1" t="s">
        <v>924</v>
      </c>
      <c r="J244" s="36">
        <f>AVERAGE(G244,G245)</f>
        <v>5.4136394471124749</v>
      </c>
      <c r="K244" s="36">
        <f>AVERAGE(H244,H245)</f>
        <v>5.4783894468166663</v>
      </c>
      <c r="L244" s="38" t="s">
        <v>918</v>
      </c>
    </row>
    <row r="245" spans="2:12" ht="15" customHeight="1" x14ac:dyDescent="0.35">
      <c r="B245" s="28" t="s">
        <v>45</v>
      </c>
      <c r="C245" s="1" t="s">
        <v>48</v>
      </c>
      <c r="D245" s="1" t="s">
        <v>1086</v>
      </c>
      <c r="E245" s="6" t="s">
        <v>47</v>
      </c>
      <c r="F245" s="6" t="s">
        <v>1089</v>
      </c>
      <c r="G245" s="36">
        <v>5.0170496082953342</v>
      </c>
      <c r="H245" s="36">
        <v>5.2441980505066663</v>
      </c>
      <c r="I245" s="1" t="s">
        <v>911</v>
      </c>
      <c r="J245" s="36"/>
      <c r="K245" s="36"/>
      <c r="L245" s="37"/>
    </row>
    <row r="246" spans="2:12" ht="15" customHeight="1" thickBot="1" x14ac:dyDescent="0.4">
      <c r="B246" s="29" t="s">
        <v>45</v>
      </c>
      <c r="C246" s="39" t="s">
        <v>48</v>
      </c>
      <c r="D246" s="39" t="s">
        <v>1086</v>
      </c>
      <c r="E246" s="40"/>
      <c r="F246" s="40"/>
      <c r="G246" s="41">
        <v>5.5913769935997273</v>
      </c>
      <c r="H246" s="41">
        <v>4.5444166666666668</v>
      </c>
      <c r="I246" s="39" t="s">
        <v>921</v>
      </c>
      <c r="J246" s="41">
        <v>5.5913769935997273</v>
      </c>
      <c r="K246" s="41">
        <v>4.5444166666666668</v>
      </c>
      <c r="L246" s="42" t="s">
        <v>929</v>
      </c>
    </row>
    <row r="247" spans="2:12" ht="15" customHeight="1" x14ac:dyDescent="0.35">
      <c r="E247" s="5" t="s">
        <v>1609</v>
      </c>
      <c r="G247" s="36">
        <f>AVERAGE(G242:G246)</f>
        <v>5.238561441224002</v>
      </c>
      <c r="H247" s="36">
        <f>AVERAGE(H242:H246)</f>
        <v>4.2632160905613325</v>
      </c>
      <c r="L247" s="43" t="s">
        <v>929</v>
      </c>
    </row>
    <row r="248" spans="2:12" ht="15" customHeight="1" thickBot="1" x14ac:dyDescent="0.4"/>
    <row r="249" spans="2:12" ht="15" customHeight="1" thickBot="1" x14ac:dyDescent="0.4">
      <c r="B249" s="44" t="s">
        <v>45</v>
      </c>
      <c r="C249" s="45" t="s">
        <v>48</v>
      </c>
      <c r="D249" s="45" t="s">
        <v>1086</v>
      </c>
      <c r="E249" s="46" t="s">
        <v>1090</v>
      </c>
      <c r="F249" s="46" t="s">
        <v>1091</v>
      </c>
      <c r="G249" s="47">
        <v>6.0515999999999996</v>
      </c>
      <c r="H249" s="47">
        <v>0.99350000000000049</v>
      </c>
      <c r="I249" s="45" t="s">
        <v>965</v>
      </c>
      <c r="J249" s="47">
        <v>6.0516000000000005</v>
      </c>
      <c r="K249" s="47">
        <v>0.99350000000000049</v>
      </c>
      <c r="L249" s="58" t="s">
        <v>912</v>
      </c>
    </row>
    <row r="250" spans="2:12" ht="15" customHeight="1" x14ac:dyDescent="0.35">
      <c r="E250" s="5" t="s">
        <v>1659</v>
      </c>
      <c r="G250" s="36">
        <f>AVERAGE(G249)</f>
        <v>6.0515999999999996</v>
      </c>
      <c r="H250" s="36">
        <f>AVERAGE(H249)</f>
        <v>0.99350000000000049</v>
      </c>
      <c r="L250" s="52" t="s">
        <v>912</v>
      </c>
    </row>
    <row r="251" spans="2:12" ht="15" customHeight="1" thickBot="1" x14ac:dyDescent="0.4"/>
    <row r="252" spans="2:12" ht="15" customHeight="1" thickBot="1" x14ac:dyDescent="0.4">
      <c r="B252" s="44" t="s">
        <v>45</v>
      </c>
      <c r="C252" s="45" t="s">
        <v>48</v>
      </c>
      <c r="D252" s="45" t="s">
        <v>1092</v>
      </c>
      <c r="E252" s="46" t="s">
        <v>1093</v>
      </c>
      <c r="F252" s="46" t="s">
        <v>1094</v>
      </c>
      <c r="G252" s="47">
        <v>7.9853748798952982</v>
      </c>
      <c r="H252" s="47">
        <v>4.0528458809999997</v>
      </c>
      <c r="I252" s="45" t="s">
        <v>999</v>
      </c>
      <c r="J252" s="47">
        <v>7.9853748798952982</v>
      </c>
      <c r="K252" s="47">
        <v>4.0528458809999997</v>
      </c>
      <c r="L252" s="70" t="s">
        <v>948</v>
      </c>
    </row>
    <row r="253" spans="2:12" ht="15" customHeight="1" x14ac:dyDescent="0.35">
      <c r="E253" s="5" t="s">
        <v>1610</v>
      </c>
      <c r="G253" s="36">
        <f>AVERAGE(G252)</f>
        <v>7.9853748798952982</v>
      </c>
      <c r="H253" s="36">
        <f>AVERAGE(H252)</f>
        <v>4.0528458809999997</v>
      </c>
      <c r="L253" s="43" t="s">
        <v>929</v>
      </c>
    </row>
    <row r="254" spans="2:12" ht="15" customHeight="1" thickBot="1" x14ac:dyDescent="0.4"/>
    <row r="255" spans="2:12" ht="15" customHeight="1" x14ac:dyDescent="0.35">
      <c r="B255" s="30" t="s">
        <v>45</v>
      </c>
      <c r="C255" s="32" t="s">
        <v>48</v>
      </c>
      <c r="D255" s="32" t="s">
        <v>1092</v>
      </c>
      <c r="E255" s="33" t="s">
        <v>1095</v>
      </c>
      <c r="F255" s="33" t="s">
        <v>1096</v>
      </c>
      <c r="G255" s="34">
        <v>6.1930496082953326</v>
      </c>
      <c r="H255" s="34">
        <v>7.6851980505066662</v>
      </c>
      <c r="I255" s="32" t="s">
        <v>944</v>
      </c>
      <c r="J255" s="34">
        <f>AVERAGE(G255,G256,G257)</f>
        <v>4.9959320891342243</v>
      </c>
      <c r="K255" s="34">
        <f>AVERAGE(H255,H256,H257)</f>
        <v>7.3025636460711114</v>
      </c>
      <c r="L255" s="50" t="s">
        <v>918</v>
      </c>
    </row>
    <row r="256" spans="2:12" ht="15" customHeight="1" x14ac:dyDescent="0.35">
      <c r="B256" s="28" t="s">
        <v>45</v>
      </c>
      <c r="C256" s="1" t="s">
        <v>48</v>
      </c>
      <c r="D256" s="1" t="s">
        <v>1092</v>
      </c>
      <c r="E256" s="6" t="s">
        <v>1095</v>
      </c>
      <c r="F256" s="6" t="s">
        <v>1096</v>
      </c>
      <c r="G256" s="36">
        <v>4.3566970508120058</v>
      </c>
      <c r="H256" s="36">
        <v>6.9212948372000014</v>
      </c>
      <c r="I256" s="1" t="s">
        <v>1041</v>
      </c>
      <c r="J256" s="36"/>
      <c r="K256" s="36"/>
      <c r="L256" s="37"/>
    </row>
    <row r="257" spans="2:12" ht="15" customHeight="1" thickBot="1" x14ac:dyDescent="0.4">
      <c r="B257" s="29" t="s">
        <v>45</v>
      </c>
      <c r="C257" s="39" t="s">
        <v>48</v>
      </c>
      <c r="D257" s="39" t="s">
        <v>1092</v>
      </c>
      <c r="E257" s="40" t="s">
        <v>1095</v>
      </c>
      <c r="F257" s="40" t="s">
        <v>1096</v>
      </c>
      <c r="G257" s="41">
        <v>4.4380496082953336</v>
      </c>
      <c r="H257" s="41">
        <v>7.3011980505066667</v>
      </c>
      <c r="I257" s="39" t="s">
        <v>911</v>
      </c>
      <c r="J257" s="41"/>
      <c r="K257" s="41"/>
      <c r="L257" s="51"/>
    </row>
    <row r="258" spans="2:12" ht="15" customHeight="1" x14ac:dyDescent="0.35">
      <c r="E258" s="5" t="s">
        <v>1613</v>
      </c>
      <c r="G258" s="36">
        <f>AVERAGE(G255:G257)</f>
        <v>4.9959320891342243</v>
      </c>
      <c r="H258" s="36">
        <f>AVERAGE(H255:H257)</f>
        <v>7.3025636460711114</v>
      </c>
      <c r="L258" s="49" t="s">
        <v>918</v>
      </c>
    </row>
    <row r="259" spans="2:12" ht="15" customHeight="1" thickBot="1" x14ac:dyDescent="0.4"/>
    <row r="260" spans="2:12" ht="15" customHeight="1" x14ac:dyDescent="0.35">
      <c r="B260" s="30" t="s">
        <v>45</v>
      </c>
      <c r="C260" s="32" t="s">
        <v>48</v>
      </c>
      <c r="D260" s="32" t="s">
        <v>1092</v>
      </c>
      <c r="E260" s="33" t="s">
        <v>1097</v>
      </c>
      <c r="F260" s="33" t="s">
        <v>1098</v>
      </c>
      <c r="G260" s="34">
        <v>6.0730496082953316</v>
      </c>
      <c r="H260" s="34">
        <v>5.1051980505066661</v>
      </c>
      <c r="I260" s="32" t="s">
        <v>944</v>
      </c>
      <c r="J260" s="34">
        <f>AVERAGE(G260,G261)</f>
        <v>5.3980496082953326</v>
      </c>
      <c r="K260" s="34">
        <f>AVERAGE(H260,H261)</f>
        <v>5.1961980505066663</v>
      </c>
      <c r="L260" s="50" t="s">
        <v>918</v>
      </c>
    </row>
    <row r="261" spans="2:12" ht="15" customHeight="1" x14ac:dyDescent="0.35">
      <c r="B261" s="28" t="s">
        <v>45</v>
      </c>
      <c r="C261" s="1" t="s">
        <v>48</v>
      </c>
      <c r="D261" s="1" t="s">
        <v>1092</v>
      </c>
      <c r="E261" s="6" t="s">
        <v>1097</v>
      </c>
      <c r="F261" s="6" t="s">
        <v>1098</v>
      </c>
      <c r="G261" s="36">
        <v>4.7230496082953337</v>
      </c>
      <c r="H261" s="36">
        <v>5.2871980505066656</v>
      </c>
      <c r="I261" s="1" t="s">
        <v>911</v>
      </c>
      <c r="J261" s="36"/>
      <c r="K261" s="36"/>
      <c r="L261" s="37"/>
    </row>
    <row r="262" spans="2:12" ht="15" customHeight="1" x14ac:dyDescent="0.35">
      <c r="B262" s="28" t="s">
        <v>45</v>
      </c>
      <c r="C262" s="1" t="s">
        <v>48</v>
      </c>
      <c r="D262" s="1" t="s">
        <v>1092</v>
      </c>
      <c r="E262" s="6" t="s">
        <v>1097</v>
      </c>
      <c r="F262" s="6" t="s">
        <v>1099</v>
      </c>
      <c r="G262" s="36">
        <v>3.0517978668529544</v>
      </c>
      <c r="H262" s="36">
        <v>5.9970944116450005</v>
      </c>
      <c r="I262" s="1" t="s">
        <v>924</v>
      </c>
      <c r="J262" s="36">
        <v>3.0517978668529544</v>
      </c>
      <c r="K262" s="36">
        <v>5.9970944116450005</v>
      </c>
      <c r="L262" s="38" t="s">
        <v>918</v>
      </c>
    </row>
    <row r="263" spans="2:12" ht="15" customHeight="1" x14ac:dyDescent="0.35">
      <c r="B263" s="28" t="s">
        <v>45</v>
      </c>
      <c r="C263" s="1" t="s">
        <v>48</v>
      </c>
      <c r="D263" s="1" t="s">
        <v>1092</v>
      </c>
      <c r="E263" s="6" t="s">
        <v>1097</v>
      </c>
      <c r="F263" s="6" t="s">
        <v>1100</v>
      </c>
      <c r="G263" s="36">
        <v>4.7176335205594384</v>
      </c>
      <c r="H263" s="36">
        <v>7.7957421690331579</v>
      </c>
      <c r="I263" s="1" t="s">
        <v>923</v>
      </c>
      <c r="J263" s="36">
        <f>AVERAGE(G263,G264)</f>
        <v>6.1003167602797195</v>
      </c>
      <c r="K263" s="36">
        <f>AVERAGE(H263,H264)</f>
        <v>5.6044210845165789</v>
      </c>
      <c r="L263" s="38" t="s">
        <v>918</v>
      </c>
    </row>
    <row r="264" spans="2:12" ht="15" customHeight="1" x14ac:dyDescent="0.35">
      <c r="B264" s="28" t="s">
        <v>45</v>
      </c>
      <c r="C264" s="1" t="s">
        <v>48</v>
      </c>
      <c r="D264" s="1" t="s">
        <v>1092</v>
      </c>
      <c r="E264" s="6" t="s">
        <v>1097</v>
      </c>
      <c r="F264" s="6" t="s">
        <v>1100</v>
      </c>
      <c r="G264" s="36">
        <v>7.4830000000000005</v>
      </c>
      <c r="H264" s="36">
        <v>3.4131</v>
      </c>
      <c r="I264" s="1" t="s">
        <v>966</v>
      </c>
      <c r="J264" s="36"/>
      <c r="K264" s="36"/>
      <c r="L264" s="37"/>
    </row>
    <row r="265" spans="2:12" ht="15" customHeight="1" x14ac:dyDescent="0.35">
      <c r="B265" s="28" t="s">
        <v>45</v>
      </c>
      <c r="C265" s="1" t="s">
        <v>48</v>
      </c>
      <c r="D265" s="1" t="s">
        <v>1092</v>
      </c>
      <c r="E265" s="6" t="s">
        <v>1097</v>
      </c>
      <c r="F265" s="6" t="s">
        <v>1101</v>
      </c>
      <c r="G265" s="36">
        <v>3.208716190691522</v>
      </c>
      <c r="H265" s="36">
        <v>5.7519803439999997</v>
      </c>
      <c r="I265" s="1" t="s">
        <v>924</v>
      </c>
      <c r="J265" s="36">
        <f>AVERAGE(G265,G266,G267)</f>
        <v>4.2819219329956182</v>
      </c>
      <c r="K265" s="36">
        <f>AVERAGE(H265,H266,H267)</f>
        <v>6.0537261315022226</v>
      </c>
      <c r="L265" s="38" t="s">
        <v>918</v>
      </c>
    </row>
    <row r="266" spans="2:12" ht="15" customHeight="1" x14ac:dyDescent="0.35">
      <c r="B266" s="28" t="s">
        <v>45</v>
      </c>
      <c r="C266" s="1" t="s">
        <v>48</v>
      </c>
      <c r="D266" s="1" t="s">
        <v>1092</v>
      </c>
      <c r="E266" s="6" t="s">
        <v>1097</v>
      </c>
      <c r="F266" s="6" t="s">
        <v>1101</v>
      </c>
      <c r="G266" s="36">
        <v>4.9470496082953339</v>
      </c>
      <c r="H266" s="36">
        <v>5.8411980505066659</v>
      </c>
      <c r="I266" s="1" t="s">
        <v>911</v>
      </c>
      <c r="J266" s="36"/>
      <c r="K266" s="36"/>
      <c r="L266" s="37"/>
    </row>
    <row r="267" spans="2:12" ht="15" customHeight="1" x14ac:dyDescent="0.35">
      <c r="B267" s="28" t="s">
        <v>45</v>
      </c>
      <c r="C267" s="1" t="s">
        <v>48</v>
      </c>
      <c r="D267" s="1" t="s">
        <v>1092</v>
      </c>
      <c r="E267" s="6" t="s">
        <v>1097</v>
      </c>
      <c r="F267" s="6" t="s">
        <v>1101</v>
      </c>
      <c r="G267" s="36">
        <v>4.6899999999999977</v>
      </c>
      <c r="H267" s="36">
        <v>6.5680000000000005</v>
      </c>
      <c r="I267" s="1" t="s">
        <v>965</v>
      </c>
      <c r="J267" s="36"/>
      <c r="K267" s="36"/>
      <c r="L267" s="37"/>
    </row>
    <row r="268" spans="2:12" ht="15" customHeight="1" thickBot="1" x14ac:dyDescent="0.4">
      <c r="B268" s="29" t="s">
        <v>45</v>
      </c>
      <c r="C268" s="39" t="s">
        <v>48</v>
      </c>
      <c r="D268" s="39" t="s">
        <v>1092</v>
      </c>
      <c r="E268" s="40" t="s">
        <v>1097</v>
      </c>
      <c r="F268" s="40" t="s">
        <v>1102</v>
      </c>
      <c r="G268" s="41">
        <v>2.3918483335486691</v>
      </c>
      <c r="H268" s="41">
        <v>3.9879470106666668</v>
      </c>
      <c r="I268" s="39" t="s">
        <v>924</v>
      </c>
      <c r="J268" s="41">
        <v>2.3918483335486691</v>
      </c>
      <c r="K268" s="41">
        <v>3.9879470106666668</v>
      </c>
      <c r="L268" s="42" t="s">
        <v>929</v>
      </c>
    </row>
    <row r="269" spans="2:12" ht="15" customHeight="1" x14ac:dyDescent="0.35">
      <c r="E269" s="5" t="s">
        <v>1614</v>
      </c>
      <c r="G269" s="36">
        <f>AVERAGE(G260:G268)</f>
        <v>4.5873494151709524</v>
      </c>
      <c r="H269" s="36">
        <f>AVERAGE(H260:H268)</f>
        <v>5.52749534298498</v>
      </c>
      <c r="L269" s="49" t="s">
        <v>918</v>
      </c>
    </row>
    <row r="270" spans="2:12" ht="15" customHeight="1" thickBot="1" x14ac:dyDescent="0.4"/>
    <row r="271" spans="2:12" ht="15" customHeight="1" thickBot="1" x14ac:dyDescent="0.4">
      <c r="B271" s="44" t="s">
        <v>45</v>
      </c>
      <c r="C271" s="45" t="s">
        <v>48</v>
      </c>
      <c r="D271" s="45" t="s">
        <v>1092</v>
      </c>
      <c r="E271" s="46" t="s">
        <v>1103</v>
      </c>
      <c r="F271" s="46" t="s">
        <v>1104</v>
      </c>
      <c r="G271" s="47">
        <v>2.6666970508120045</v>
      </c>
      <c r="H271" s="47">
        <v>7.1212948372000007</v>
      </c>
      <c r="I271" s="45" t="s">
        <v>1041</v>
      </c>
      <c r="J271" s="47">
        <v>2.6666970508120045</v>
      </c>
      <c r="K271" s="47">
        <v>7.1212948372000007</v>
      </c>
      <c r="L271" s="48" t="s">
        <v>918</v>
      </c>
    </row>
    <row r="272" spans="2:12" ht="15" customHeight="1" x14ac:dyDescent="0.35">
      <c r="E272" s="5" t="s">
        <v>1615</v>
      </c>
      <c r="G272" s="36">
        <f>AVERAGE(G271)</f>
        <v>2.6666970508120045</v>
      </c>
      <c r="H272" s="36">
        <f>AVERAGE(H271)</f>
        <v>7.1212948372000007</v>
      </c>
      <c r="L272" s="49" t="s">
        <v>918</v>
      </c>
    </row>
    <row r="273" spans="2:12" ht="15" customHeight="1" thickBot="1" x14ac:dyDescent="0.4"/>
    <row r="274" spans="2:12" ht="15" customHeight="1" x14ac:dyDescent="0.35">
      <c r="B274" s="30" t="s">
        <v>45</v>
      </c>
      <c r="C274" s="32" t="s">
        <v>1105</v>
      </c>
      <c r="D274" s="32" t="s">
        <v>1106</v>
      </c>
      <c r="E274" s="33" t="s">
        <v>1107</v>
      </c>
      <c r="F274" s="33" t="s">
        <v>1108</v>
      </c>
      <c r="G274" s="34">
        <v>5.1230496082953323</v>
      </c>
      <c r="H274" s="34">
        <v>4.3551980505066661</v>
      </c>
      <c r="I274" s="32" t="s">
        <v>944</v>
      </c>
      <c r="J274" s="34">
        <v>5.1230496082953323</v>
      </c>
      <c r="K274" s="34">
        <v>4.3551980505066661</v>
      </c>
      <c r="L274" s="60" t="s">
        <v>929</v>
      </c>
    </row>
    <row r="275" spans="2:12" ht="15" customHeight="1" x14ac:dyDescent="0.35">
      <c r="B275" s="28" t="s">
        <v>45</v>
      </c>
      <c r="C275" s="1" t="s">
        <v>1105</v>
      </c>
      <c r="D275" s="1" t="s">
        <v>1106</v>
      </c>
      <c r="E275" s="6" t="s">
        <v>1107</v>
      </c>
      <c r="F275" s="6" t="s">
        <v>1109</v>
      </c>
      <c r="G275" s="36">
        <v>4.3831280049999997</v>
      </c>
      <c r="H275" s="36">
        <v>5.6280333322500002</v>
      </c>
      <c r="I275" s="1" t="s">
        <v>928</v>
      </c>
      <c r="J275" s="36">
        <v>4.3831280049999997</v>
      </c>
      <c r="K275" s="36">
        <v>5.6280333322500002</v>
      </c>
      <c r="L275" s="38" t="s">
        <v>918</v>
      </c>
    </row>
    <row r="276" spans="2:12" ht="15" customHeight="1" x14ac:dyDescent="0.35">
      <c r="B276" s="28" t="s">
        <v>45</v>
      </c>
      <c r="C276" s="1" t="s">
        <v>1105</v>
      </c>
      <c r="D276" s="1" t="s">
        <v>1106</v>
      </c>
      <c r="E276" s="6" t="s">
        <v>1107</v>
      </c>
      <c r="F276" s="6" t="s">
        <v>1110</v>
      </c>
      <c r="G276" s="36">
        <v>4.9397181931205907</v>
      </c>
      <c r="H276" s="36">
        <v>2.85</v>
      </c>
      <c r="I276" s="1" t="s">
        <v>992</v>
      </c>
      <c r="J276" s="36">
        <f>AVERAGE(G276,G277,G278,G279,G280)</f>
        <v>3.6301712293563178</v>
      </c>
      <c r="K276" s="36">
        <f>AVERAGE(H276,H277,H278,H279,H280)</f>
        <v>0.73161422020266653</v>
      </c>
      <c r="L276" s="56" t="s">
        <v>912</v>
      </c>
    </row>
    <row r="277" spans="2:12" ht="15" customHeight="1" x14ac:dyDescent="0.35">
      <c r="B277" s="28" t="s">
        <v>45</v>
      </c>
      <c r="C277" s="1" t="s">
        <v>1105</v>
      </c>
      <c r="D277" s="1" t="s">
        <v>1106</v>
      </c>
      <c r="E277" s="6" t="s">
        <v>1107</v>
      </c>
      <c r="F277" s="6" t="s">
        <v>1110</v>
      </c>
      <c r="G277" s="36">
        <v>4.4064287194363878</v>
      </c>
      <c r="H277" s="36">
        <v>0.45280000000000031</v>
      </c>
      <c r="I277" s="1" t="s">
        <v>989</v>
      </c>
      <c r="J277" s="36"/>
      <c r="K277" s="36"/>
      <c r="L277" s="37"/>
    </row>
    <row r="278" spans="2:12" ht="15" customHeight="1" x14ac:dyDescent="0.35">
      <c r="B278" s="28" t="s">
        <v>45</v>
      </c>
      <c r="C278" s="1" t="s">
        <v>1105</v>
      </c>
      <c r="D278" s="1" t="s">
        <v>1106</v>
      </c>
      <c r="E278" s="6" t="s">
        <v>1107</v>
      </c>
      <c r="F278" s="6" t="s">
        <v>1110</v>
      </c>
      <c r="G278" s="36">
        <v>4.4730496082953337</v>
      </c>
      <c r="H278" s="36">
        <v>1.1251980505066663</v>
      </c>
      <c r="I278" s="1" t="s">
        <v>944</v>
      </c>
      <c r="J278" s="36"/>
      <c r="K278" s="36"/>
      <c r="L278" s="37"/>
    </row>
    <row r="279" spans="2:12" ht="15" customHeight="1" x14ac:dyDescent="0.35">
      <c r="B279" s="28" t="s">
        <v>45</v>
      </c>
      <c r="C279" s="1" t="s">
        <v>1105</v>
      </c>
      <c r="D279" s="1" t="s">
        <v>1106</v>
      </c>
      <c r="E279" s="6" t="s">
        <v>1107</v>
      </c>
      <c r="F279" s="6" t="s">
        <v>1110</v>
      </c>
      <c r="G279" s="36">
        <v>2.7650496082953335</v>
      </c>
      <c r="H279" s="36">
        <v>-1.9608019494933342</v>
      </c>
      <c r="I279" s="1" t="s">
        <v>911</v>
      </c>
      <c r="J279" s="36"/>
      <c r="K279" s="36"/>
      <c r="L279" s="37"/>
    </row>
    <row r="280" spans="2:12" ht="15" customHeight="1" x14ac:dyDescent="0.35">
      <c r="B280" s="28" t="s">
        <v>45</v>
      </c>
      <c r="C280" s="1" t="s">
        <v>1105</v>
      </c>
      <c r="D280" s="1" t="s">
        <v>1106</v>
      </c>
      <c r="E280" s="6" t="s">
        <v>1107</v>
      </c>
      <c r="F280" s="6" t="s">
        <v>1110</v>
      </c>
      <c r="G280" s="36">
        <v>1.5666100176339448</v>
      </c>
      <c r="H280" s="36">
        <v>1.1908749999999997</v>
      </c>
      <c r="I280" s="1" t="s">
        <v>913</v>
      </c>
      <c r="J280" s="36"/>
      <c r="K280" s="36"/>
      <c r="L280" s="37"/>
    </row>
    <row r="281" spans="2:12" ht="15" customHeight="1" x14ac:dyDescent="0.35">
      <c r="B281" s="28" t="s">
        <v>45</v>
      </c>
      <c r="C281" s="1" t="s">
        <v>1105</v>
      </c>
      <c r="D281" s="1" t="s">
        <v>1106</v>
      </c>
      <c r="E281" s="6" t="s">
        <v>1107</v>
      </c>
      <c r="F281" s="6" t="s">
        <v>1111</v>
      </c>
      <c r="G281" s="36">
        <v>4.2338644840447586</v>
      </c>
      <c r="H281" s="36">
        <v>0.31440000000000001</v>
      </c>
      <c r="I281" s="1" t="s">
        <v>1058</v>
      </c>
      <c r="J281" s="36">
        <f>AVERAGE(G281,G282)</f>
        <v>3.5506405753557129</v>
      </c>
      <c r="K281" s="36">
        <f>AVERAGE(H281,H282)</f>
        <v>4.2658333333333687E-2</v>
      </c>
      <c r="L281" s="56" t="s">
        <v>912</v>
      </c>
    </row>
    <row r="282" spans="2:12" ht="15" customHeight="1" x14ac:dyDescent="0.35">
      <c r="B282" s="28" t="s">
        <v>45</v>
      </c>
      <c r="C282" s="1" t="s">
        <v>1105</v>
      </c>
      <c r="D282" s="1" t="s">
        <v>1106</v>
      </c>
      <c r="E282" s="6" t="s">
        <v>1107</v>
      </c>
      <c r="F282" s="6" t="s">
        <v>1111</v>
      </c>
      <c r="G282" s="36">
        <v>2.8674166666666672</v>
      </c>
      <c r="H282" s="36">
        <v>-0.22908333333333264</v>
      </c>
      <c r="I282" s="1" t="s">
        <v>921</v>
      </c>
      <c r="J282" s="36"/>
      <c r="K282" s="36"/>
      <c r="L282" s="37"/>
    </row>
    <row r="283" spans="2:12" ht="15" customHeight="1" x14ac:dyDescent="0.35">
      <c r="B283" s="28" t="s">
        <v>45</v>
      </c>
      <c r="C283" s="1" t="s">
        <v>1105</v>
      </c>
      <c r="D283" s="1" t="s">
        <v>1106</v>
      </c>
      <c r="E283" s="6" t="s">
        <v>1107</v>
      </c>
      <c r="F283" s="6" t="s">
        <v>1112</v>
      </c>
      <c r="G283" s="36">
        <v>4.0010018054552976</v>
      </c>
      <c r="H283" s="36">
        <v>-1.3760856679200009</v>
      </c>
      <c r="I283" s="1" t="s">
        <v>999</v>
      </c>
      <c r="J283" s="36">
        <f>AVERAGE(G283,G284,G285,G286)</f>
        <v>3.6580488067082935</v>
      </c>
      <c r="K283" s="36">
        <f>AVERAGE(H283,H284,H285,H286)</f>
        <v>0.80998927316501002</v>
      </c>
      <c r="L283" s="56" t="s">
        <v>912</v>
      </c>
    </row>
    <row r="284" spans="2:12" ht="15" customHeight="1" x14ac:dyDescent="0.35">
      <c r="B284" s="28" t="s">
        <v>45</v>
      </c>
      <c r="C284" s="1" t="s">
        <v>1105</v>
      </c>
      <c r="D284" s="1" t="s">
        <v>1106</v>
      </c>
      <c r="E284" s="6" t="s">
        <v>1107</v>
      </c>
      <c r="F284" s="6" t="s">
        <v>1112</v>
      </c>
      <c r="G284" s="36">
        <v>4.1485438130825463</v>
      </c>
      <c r="H284" s="36">
        <v>4.6288447100733752</v>
      </c>
      <c r="I284" s="1" t="s">
        <v>923</v>
      </c>
      <c r="J284" s="36"/>
      <c r="K284" s="36"/>
      <c r="L284" s="37"/>
    </row>
    <row r="285" spans="2:12" ht="15" customHeight="1" x14ac:dyDescent="0.35">
      <c r="B285" s="28" t="s">
        <v>45</v>
      </c>
      <c r="C285" s="1" t="s">
        <v>1105</v>
      </c>
      <c r="D285" s="1" t="s">
        <v>1106</v>
      </c>
      <c r="E285" s="6" t="s">
        <v>1107</v>
      </c>
      <c r="F285" s="6" t="s">
        <v>1112</v>
      </c>
      <c r="G285" s="36">
        <v>3.0350496082953335</v>
      </c>
      <c r="H285" s="36">
        <v>0.15019805050666601</v>
      </c>
      <c r="I285" s="1" t="s">
        <v>911</v>
      </c>
      <c r="J285" s="36"/>
      <c r="K285" s="36"/>
      <c r="L285" s="37"/>
    </row>
    <row r="286" spans="2:12" ht="15" customHeight="1" thickBot="1" x14ac:dyDescent="0.4">
      <c r="B286" s="29" t="s">
        <v>45</v>
      </c>
      <c r="C286" s="39" t="s">
        <v>1105</v>
      </c>
      <c r="D286" s="39" t="s">
        <v>1106</v>
      </c>
      <c r="E286" s="40" t="s">
        <v>1107</v>
      </c>
      <c r="F286" s="40" t="s">
        <v>1112</v>
      </c>
      <c r="G286" s="41">
        <v>3.4475999999999978</v>
      </c>
      <c r="H286" s="41">
        <v>-0.16300000000000026</v>
      </c>
      <c r="I286" s="39" t="s">
        <v>966</v>
      </c>
      <c r="J286" s="41"/>
      <c r="K286" s="41"/>
      <c r="L286" s="51"/>
    </row>
    <row r="287" spans="2:12" ht="15" customHeight="1" x14ac:dyDescent="0.35">
      <c r="E287" s="5" t="s">
        <v>1616</v>
      </c>
      <c r="G287" s="36">
        <f>AVERAGE(G274:G286)</f>
        <v>3.7992700105862705</v>
      </c>
      <c r="H287" s="36">
        <f>AVERAGE(H274:H286)</f>
        <v>1.3051212494689775</v>
      </c>
      <c r="L287" s="52" t="s">
        <v>912</v>
      </c>
    </row>
    <row r="288" spans="2:12" ht="15" customHeight="1" thickBot="1" x14ac:dyDescent="0.4"/>
    <row r="289" spans="2:12" ht="15" customHeight="1" thickBot="1" x14ac:dyDescent="0.4">
      <c r="B289" s="44" t="s">
        <v>45</v>
      </c>
      <c r="C289" s="45" t="s">
        <v>1113</v>
      </c>
      <c r="D289" s="45" t="s">
        <v>1114</v>
      </c>
      <c r="E289" s="46" t="s">
        <v>1115</v>
      </c>
      <c r="F289" s="46" t="s">
        <v>1116</v>
      </c>
      <c r="G289" s="47">
        <v>3.9030496082953334</v>
      </c>
      <c r="H289" s="47">
        <v>-4.8019494933340123E-3</v>
      </c>
      <c r="I289" s="45" t="s">
        <v>944</v>
      </c>
      <c r="J289" s="47">
        <v>3.9030496082953334</v>
      </c>
      <c r="K289" s="47">
        <v>-4.8019494933340123E-3</v>
      </c>
      <c r="L289" s="58" t="s">
        <v>912</v>
      </c>
    </row>
    <row r="290" spans="2:12" ht="15" customHeight="1" x14ac:dyDescent="0.35">
      <c r="E290" s="5" t="s">
        <v>1618</v>
      </c>
      <c r="G290" s="36">
        <f>AVERAGE(G289)</f>
        <v>3.9030496082953334</v>
      </c>
      <c r="H290" s="36">
        <f>AVERAGE(H289)</f>
        <v>-4.8019494933340123E-3</v>
      </c>
      <c r="L290" s="52" t="s">
        <v>912</v>
      </c>
    </row>
    <row r="291" spans="2:12" ht="15" customHeight="1" thickBot="1" x14ac:dyDescent="0.4"/>
    <row r="292" spans="2:12" ht="15" customHeight="1" x14ac:dyDescent="0.35">
      <c r="B292" s="30" t="s">
        <v>45</v>
      </c>
      <c r="C292" s="32" t="s">
        <v>49</v>
      </c>
      <c r="D292" s="32" t="s">
        <v>1117</v>
      </c>
      <c r="E292" s="33" t="s">
        <v>1118</v>
      </c>
      <c r="F292" s="33" t="s">
        <v>1119</v>
      </c>
      <c r="G292" s="34">
        <v>5.8415128555022804</v>
      </c>
      <c r="H292" s="34">
        <v>2.7257947408931358</v>
      </c>
      <c r="I292" s="32" t="s">
        <v>1066</v>
      </c>
      <c r="J292" s="34">
        <f>AVERAGE(G292,G293)</f>
        <v>5.0603636001787891</v>
      </c>
      <c r="K292" s="34">
        <f>AVERAGE(H292,H293)</f>
        <v>0.98288317399990066</v>
      </c>
      <c r="L292" s="35" t="s">
        <v>912</v>
      </c>
    </row>
    <row r="293" spans="2:12" ht="15" customHeight="1" x14ac:dyDescent="0.35">
      <c r="B293" s="28" t="s">
        <v>45</v>
      </c>
      <c r="C293" s="1" t="s">
        <v>49</v>
      </c>
      <c r="D293" s="1" t="s">
        <v>1120</v>
      </c>
      <c r="E293" s="6" t="s">
        <v>1118</v>
      </c>
      <c r="F293" s="6" t="s">
        <v>1119</v>
      </c>
      <c r="G293" s="36">
        <v>4.2792143448552977</v>
      </c>
      <c r="H293" s="36">
        <v>-0.76002839289333446</v>
      </c>
      <c r="I293" s="1" t="s">
        <v>1039</v>
      </c>
      <c r="J293" s="36"/>
      <c r="K293" s="36"/>
      <c r="L293" s="37"/>
    </row>
    <row r="294" spans="2:12" ht="15" customHeight="1" x14ac:dyDescent="0.35">
      <c r="B294" s="28" t="s">
        <v>45</v>
      </c>
      <c r="C294" s="1" t="s">
        <v>49</v>
      </c>
      <c r="D294" s="1" t="s">
        <v>1120</v>
      </c>
      <c r="E294" s="6" t="s">
        <v>1118</v>
      </c>
      <c r="F294" s="6" t="s">
        <v>1121</v>
      </c>
      <c r="G294" s="36">
        <v>3.8082860201685271</v>
      </c>
      <c r="H294" s="36">
        <v>0.25800000000000001</v>
      </c>
      <c r="I294" s="1" t="s">
        <v>992</v>
      </c>
      <c r="J294" s="36">
        <f>AVERAGE(G294,G295)</f>
        <v>3.5591709835612608</v>
      </c>
      <c r="K294" s="36">
        <f>AVERAGE(H293,H294)</f>
        <v>-0.25101419644666723</v>
      </c>
      <c r="L294" s="56" t="s">
        <v>912</v>
      </c>
    </row>
    <row r="295" spans="2:12" ht="15" customHeight="1" x14ac:dyDescent="0.35">
      <c r="B295" s="28" t="s">
        <v>45</v>
      </c>
      <c r="C295" s="1" t="s">
        <v>49</v>
      </c>
      <c r="D295" s="1" t="s">
        <v>1120</v>
      </c>
      <c r="E295" s="6" t="s">
        <v>1118</v>
      </c>
      <c r="F295" s="6" t="s">
        <v>1121</v>
      </c>
      <c r="G295" s="36">
        <v>3.3100559469539945</v>
      </c>
      <c r="H295" s="36">
        <v>3.931</v>
      </c>
      <c r="I295" s="1" t="s">
        <v>1058</v>
      </c>
      <c r="J295" s="36"/>
      <c r="K295" s="36"/>
      <c r="L295" s="37"/>
    </row>
    <row r="296" spans="2:12" ht="15" customHeight="1" x14ac:dyDescent="0.35">
      <c r="B296" s="28" t="s">
        <v>45</v>
      </c>
      <c r="C296" s="1" t="s">
        <v>49</v>
      </c>
      <c r="D296" s="1" t="s">
        <v>1120</v>
      </c>
      <c r="E296" s="6" t="s">
        <v>1118</v>
      </c>
      <c r="F296" s="6" t="s">
        <v>1122</v>
      </c>
      <c r="G296" s="36">
        <v>5.3589706928734788</v>
      </c>
      <c r="H296" s="36">
        <v>1.388860659036363</v>
      </c>
      <c r="I296" s="1" t="s">
        <v>999</v>
      </c>
      <c r="J296" s="36">
        <v>5.3589706928734788</v>
      </c>
      <c r="K296" s="36">
        <v>1.388860659036363</v>
      </c>
      <c r="L296" s="56" t="s">
        <v>912</v>
      </c>
    </row>
    <row r="297" spans="2:12" ht="15" customHeight="1" x14ac:dyDescent="0.35">
      <c r="B297" s="28" t="s">
        <v>45</v>
      </c>
      <c r="C297" s="1" t="s">
        <v>1666</v>
      </c>
      <c r="D297" s="1" t="s">
        <v>1120</v>
      </c>
      <c r="E297" s="6" t="s">
        <v>1118</v>
      </c>
      <c r="F297" s="6" t="s">
        <v>1123</v>
      </c>
      <c r="G297" s="36">
        <v>5.173049608295333</v>
      </c>
      <c r="H297" s="36">
        <v>4.3851980505066663</v>
      </c>
      <c r="I297" s="1" t="s">
        <v>944</v>
      </c>
      <c r="J297" s="36">
        <v>5.173049608295333</v>
      </c>
      <c r="K297" s="36">
        <v>4.3851980505066663</v>
      </c>
      <c r="L297" s="53" t="s">
        <v>929</v>
      </c>
    </row>
    <row r="298" spans="2:12" ht="15" customHeight="1" x14ac:dyDescent="0.35">
      <c r="B298" s="28" t="s">
        <v>45</v>
      </c>
      <c r="C298" s="1" t="s">
        <v>49</v>
      </c>
      <c r="D298" s="1" t="s">
        <v>1120</v>
      </c>
      <c r="E298" s="6" t="s">
        <v>1118</v>
      </c>
      <c r="F298" s="6" t="s">
        <v>1124</v>
      </c>
      <c r="G298" s="36">
        <v>4.5854347306012109</v>
      </c>
      <c r="H298" s="36">
        <v>0.61949999999999994</v>
      </c>
      <c r="I298" s="1" t="s">
        <v>964</v>
      </c>
      <c r="J298" s="36">
        <f>AVERAGE(G298,G299)</f>
        <v>3.2990506986339376</v>
      </c>
      <c r="K298" s="36">
        <f>AVERAGE(H298,H299)</f>
        <v>1.3819583333333334</v>
      </c>
      <c r="L298" s="56" t="s">
        <v>912</v>
      </c>
    </row>
    <row r="299" spans="2:12" ht="15" customHeight="1" x14ac:dyDescent="0.35">
      <c r="B299" s="28" t="s">
        <v>45</v>
      </c>
      <c r="C299" s="1" t="s">
        <v>49</v>
      </c>
      <c r="D299" s="1" t="s">
        <v>1120</v>
      </c>
      <c r="E299" s="6" t="s">
        <v>1118</v>
      </c>
      <c r="F299" s="6" t="s">
        <v>1124</v>
      </c>
      <c r="G299" s="36">
        <v>2.0126666666666644</v>
      </c>
      <c r="H299" s="36">
        <v>2.1444166666666669</v>
      </c>
      <c r="I299" s="1" t="s">
        <v>921</v>
      </c>
      <c r="J299" s="36"/>
      <c r="K299" s="36"/>
      <c r="L299" s="37"/>
    </row>
    <row r="300" spans="2:12" ht="15" customHeight="1" x14ac:dyDescent="0.35">
      <c r="B300" s="28" t="s">
        <v>45</v>
      </c>
      <c r="C300" s="1" t="s">
        <v>49</v>
      </c>
      <c r="D300" s="1" t="s">
        <v>1120</v>
      </c>
      <c r="E300" s="6" t="s">
        <v>1118</v>
      </c>
      <c r="F300" s="6" t="s">
        <v>1125</v>
      </c>
      <c r="G300" s="36">
        <v>5.3330496082953331</v>
      </c>
      <c r="H300" s="36">
        <v>3.9451980505066659</v>
      </c>
      <c r="I300" s="1" t="s">
        <v>944</v>
      </c>
      <c r="J300" s="36">
        <f>AVERAGE(G300,G301)</f>
        <v>4.6255496082953336</v>
      </c>
      <c r="K300" s="36">
        <f>AVERAGE(H300,H301)</f>
        <v>3.188698050506666</v>
      </c>
      <c r="L300" s="53" t="s">
        <v>929</v>
      </c>
    </row>
    <row r="301" spans="2:12" ht="15" customHeight="1" x14ac:dyDescent="0.35">
      <c r="B301" s="28" t="s">
        <v>45</v>
      </c>
      <c r="C301" s="1" t="s">
        <v>49</v>
      </c>
      <c r="D301" s="1" t="s">
        <v>1120</v>
      </c>
      <c r="E301" s="6" t="s">
        <v>1118</v>
      </c>
      <c r="F301" s="6" t="s">
        <v>1125</v>
      </c>
      <c r="G301" s="36">
        <v>3.9180496082953336</v>
      </c>
      <c r="H301" s="36">
        <v>2.432198050506666</v>
      </c>
      <c r="I301" s="1" t="s">
        <v>911</v>
      </c>
      <c r="J301" s="36"/>
      <c r="K301" s="36"/>
      <c r="L301" s="37"/>
    </row>
    <row r="302" spans="2:12" ht="15" customHeight="1" x14ac:dyDescent="0.35">
      <c r="B302" s="28" t="s">
        <v>45</v>
      </c>
      <c r="C302" s="1" t="s">
        <v>49</v>
      </c>
      <c r="D302" s="1" t="s">
        <v>1120</v>
      </c>
      <c r="E302" s="6" t="s">
        <v>1118</v>
      </c>
      <c r="F302" s="6" t="s">
        <v>1126</v>
      </c>
      <c r="G302" s="36">
        <v>4.8454163448553054</v>
      </c>
      <c r="H302" s="36">
        <v>0.68513827377333225</v>
      </c>
      <c r="I302" s="1" t="s">
        <v>1039</v>
      </c>
      <c r="J302" s="36">
        <f>AVERAGE(G302,G303)</f>
        <v>3.9282329765753197</v>
      </c>
      <c r="K302" s="36">
        <f>AVERAGE(H302,H303)</f>
        <v>1.0541681621399992</v>
      </c>
      <c r="L302" s="56" t="s">
        <v>912</v>
      </c>
    </row>
    <row r="303" spans="2:12" ht="15" customHeight="1" thickBot="1" x14ac:dyDescent="0.4">
      <c r="B303" s="29" t="s">
        <v>45</v>
      </c>
      <c r="C303" s="39" t="s">
        <v>49</v>
      </c>
      <c r="D303" s="39" t="s">
        <v>1120</v>
      </c>
      <c r="E303" s="40" t="s">
        <v>1118</v>
      </c>
      <c r="F303" s="40" t="s">
        <v>1126</v>
      </c>
      <c r="G303" s="41">
        <v>3.0110496082953335</v>
      </c>
      <c r="H303" s="41">
        <v>1.4231980505066661</v>
      </c>
      <c r="I303" s="39" t="s">
        <v>911</v>
      </c>
      <c r="J303" s="41"/>
      <c r="K303" s="41"/>
      <c r="L303" s="51"/>
    </row>
    <row r="304" spans="2:12" ht="15" customHeight="1" x14ac:dyDescent="0.35">
      <c r="E304" s="5" t="s">
        <v>1620</v>
      </c>
      <c r="G304" s="36">
        <f>AVERAGE(G292:G303)</f>
        <v>4.2897296696381746</v>
      </c>
      <c r="H304" s="36">
        <f>AVERAGE(H292:H303)</f>
        <v>1.931539512458569</v>
      </c>
      <c r="L304" s="43" t="s">
        <v>929</v>
      </c>
    </row>
    <row r="305" spans="2:12" ht="15" customHeight="1" thickBot="1" x14ac:dyDescent="0.4"/>
    <row r="306" spans="2:12" ht="15" customHeight="1" x14ac:dyDescent="0.35">
      <c r="B306" s="30" t="s">
        <v>45</v>
      </c>
      <c r="C306" s="32" t="s">
        <v>50</v>
      </c>
      <c r="D306" s="32" t="s">
        <v>1127</v>
      </c>
      <c r="E306" s="33" t="s">
        <v>1128</v>
      </c>
      <c r="F306" s="33" t="s">
        <v>1129</v>
      </c>
      <c r="G306" s="34">
        <v>5.1235136738376887</v>
      </c>
      <c r="H306" s="34">
        <v>8.1430990291821992E-3</v>
      </c>
      <c r="I306" s="32" t="s">
        <v>975</v>
      </c>
      <c r="J306" s="34">
        <f>AVERAGE(G306,G307,G308,G309,G310,G311)</f>
        <v>3.9724077934722586</v>
      </c>
      <c r="K306" s="34">
        <f>AVERAGE(H306,H307,H308,H309,H310,H311)</f>
        <v>0.82164367300065411</v>
      </c>
      <c r="L306" s="35" t="s">
        <v>912</v>
      </c>
    </row>
    <row r="307" spans="2:12" ht="15" customHeight="1" x14ac:dyDescent="0.35">
      <c r="B307" s="28" t="s">
        <v>45</v>
      </c>
      <c r="C307" s="1" t="s">
        <v>50</v>
      </c>
      <c r="D307" s="1" t="s">
        <v>1127</v>
      </c>
      <c r="E307" s="6" t="s">
        <v>1128</v>
      </c>
      <c r="F307" s="6" t="s">
        <v>1129</v>
      </c>
      <c r="G307" s="36">
        <v>5.1230496082953323</v>
      </c>
      <c r="H307" s="36">
        <v>2.9151980505066661</v>
      </c>
      <c r="I307" s="1" t="s">
        <v>944</v>
      </c>
      <c r="J307" s="36"/>
      <c r="K307" s="36"/>
      <c r="L307" s="37"/>
    </row>
    <row r="308" spans="2:12" ht="15" customHeight="1" x14ac:dyDescent="0.35">
      <c r="B308" s="28" t="s">
        <v>45</v>
      </c>
      <c r="C308" s="1" t="s">
        <v>50</v>
      </c>
      <c r="D308" s="1" t="s">
        <v>1127</v>
      </c>
      <c r="E308" s="6" t="s">
        <v>1128</v>
      </c>
      <c r="F308" s="6" t="s">
        <v>1129</v>
      </c>
      <c r="G308" s="36">
        <v>3.0146227323236254</v>
      </c>
      <c r="H308" s="36">
        <v>4.2857072941467491</v>
      </c>
      <c r="I308" s="1" t="s">
        <v>923</v>
      </c>
      <c r="J308" s="36"/>
      <c r="K308" s="36"/>
      <c r="L308" s="37"/>
    </row>
    <row r="309" spans="2:12" ht="15" customHeight="1" x14ac:dyDescent="0.35">
      <c r="B309" s="28" t="s">
        <v>45</v>
      </c>
      <c r="C309" s="1" t="s">
        <v>50</v>
      </c>
      <c r="D309" s="1" t="s">
        <v>1127</v>
      </c>
      <c r="E309" s="6" t="s">
        <v>1128</v>
      </c>
      <c r="F309" s="6" t="s">
        <v>1129</v>
      </c>
      <c r="G309" s="36">
        <v>3.3354444714149025</v>
      </c>
      <c r="H309" s="36">
        <v>-1.1228520060413416E-6</v>
      </c>
      <c r="I309" s="1" t="s">
        <v>925</v>
      </c>
      <c r="J309" s="36"/>
      <c r="K309" s="36"/>
      <c r="L309" s="37"/>
    </row>
    <row r="310" spans="2:12" ht="15" customHeight="1" x14ac:dyDescent="0.35">
      <c r="B310" s="28" t="s">
        <v>45</v>
      </c>
      <c r="C310" s="1" t="s">
        <v>1668</v>
      </c>
      <c r="D310" s="1" t="s">
        <v>1127</v>
      </c>
      <c r="E310" s="6" t="s">
        <v>1128</v>
      </c>
      <c r="F310" s="6" t="s">
        <v>1129</v>
      </c>
      <c r="G310" s="36">
        <v>4.3380496082953339</v>
      </c>
      <c r="H310" s="36">
        <v>-1.2118019494933341</v>
      </c>
      <c r="I310" s="1" t="s">
        <v>911</v>
      </c>
      <c r="J310" s="36"/>
      <c r="K310" s="36"/>
      <c r="L310" s="37"/>
    </row>
    <row r="311" spans="2:12" ht="15" customHeight="1" x14ac:dyDescent="0.35">
      <c r="B311" s="28" t="s">
        <v>45</v>
      </c>
      <c r="C311" s="1" t="s">
        <v>50</v>
      </c>
      <c r="D311" s="1" t="s">
        <v>1127</v>
      </c>
      <c r="E311" s="6" t="s">
        <v>1128</v>
      </c>
      <c r="F311" s="6" t="s">
        <v>1129</v>
      </c>
      <c r="G311" s="36">
        <v>2.8997666666666646</v>
      </c>
      <c r="H311" s="36">
        <v>-1.0673833333333329</v>
      </c>
      <c r="I311" s="1" t="s">
        <v>921</v>
      </c>
      <c r="J311" s="36"/>
      <c r="K311" s="36"/>
      <c r="L311" s="37"/>
    </row>
    <row r="312" spans="2:12" ht="15" customHeight="1" thickBot="1" x14ac:dyDescent="0.4">
      <c r="B312" s="29" t="s">
        <v>45</v>
      </c>
      <c r="C312" s="39" t="s">
        <v>50</v>
      </c>
      <c r="D312" s="39" t="s">
        <v>1127</v>
      </c>
      <c r="E312" s="40" t="s">
        <v>1128</v>
      </c>
      <c r="F312" s="40" t="s">
        <v>1130</v>
      </c>
      <c r="G312" s="41">
        <v>5.8071578947368465</v>
      </c>
      <c r="H312" s="41">
        <v>-0.46660000000000013</v>
      </c>
      <c r="I312" s="39" t="s">
        <v>964</v>
      </c>
      <c r="J312" s="41">
        <v>5.8071578947368501</v>
      </c>
      <c r="K312" s="41">
        <v>-0.46660000000000013</v>
      </c>
      <c r="L312" s="54" t="s">
        <v>912</v>
      </c>
    </row>
    <row r="313" spans="2:12" ht="15" customHeight="1" x14ac:dyDescent="0.35">
      <c r="E313" s="5" t="s">
        <v>1625</v>
      </c>
      <c r="G313" s="36">
        <f>AVERAGE(G306:G312)</f>
        <v>4.2345149507957709</v>
      </c>
      <c r="H313" s="36">
        <f>AVERAGE(H306:H312)</f>
        <v>0.63760886257198912</v>
      </c>
      <c r="L313" s="52" t="s">
        <v>912</v>
      </c>
    </row>
    <row r="314" spans="2:12" ht="15" customHeight="1" thickBot="1" x14ac:dyDescent="0.4"/>
    <row r="315" spans="2:12" ht="15" customHeight="1" thickBot="1" x14ac:dyDescent="0.4">
      <c r="B315" s="44" t="s">
        <v>45</v>
      </c>
      <c r="C315" s="45" t="s">
        <v>1670</v>
      </c>
      <c r="D315" s="45" t="s">
        <v>1131</v>
      </c>
      <c r="E315" s="46" t="s">
        <v>1132</v>
      </c>
      <c r="F315" s="46" t="s">
        <v>1133</v>
      </c>
      <c r="G315" s="47">
        <v>4.0499999999999972</v>
      </c>
      <c r="H315" s="47">
        <v>3.2</v>
      </c>
      <c r="I315" s="45" t="s">
        <v>938</v>
      </c>
      <c r="J315" s="47">
        <v>4.0499999999999972</v>
      </c>
      <c r="K315" s="47">
        <v>3.2</v>
      </c>
      <c r="L315" s="59" t="s">
        <v>929</v>
      </c>
    </row>
    <row r="316" spans="2:12" ht="15" customHeight="1" x14ac:dyDescent="0.35">
      <c r="E316" s="5" t="s">
        <v>1624</v>
      </c>
      <c r="G316" s="36">
        <f>AVERAGE(G315)</f>
        <v>4.0499999999999972</v>
      </c>
      <c r="H316" s="36">
        <f>AVERAGE(H315)</f>
        <v>3.2</v>
      </c>
      <c r="L316" s="43" t="s">
        <v>929</v>
      </c>
    </row>
    <row r="317" spans="2:12" ht="15" customHeight="1" x14ac:dyDescent="0.35">
      <c r="D317" s="4" t="s">
        <v>1623</v>
      </c>
      <c r="E317" s="6" t="s">
        <v>1626</v>
      </c>
      <c r="G317" s="36">
        <f>AVERAGE(G316)</f>
        <v>4.0499999999999972</v>
      </c>
      <c r="H317" s="36">
        <f>AVERAGE(H316)</f>
        <v>3.2</v>
      </c>
      <c r="L317" s="43" t="s">
        <v>929</v>
      </c>
    </row>
    <row r="318" spans="2:12" ht="15" customHeight="1" x14ac:dyDescent="0.35">
      <c r="D318" s="4" t="s">
        <v>1134</v>
      </c>
      <c r="G318" s="36"/>
      <c r="H318" s="36"/>
    </row>
    <row r="319" spans="2:12" ht="15" customHeight="1" thickBot="1" x14ac:dyDescent="0.4"/>
    <row r="320" spans="2:12" ht="15" customHeight="1" x14ac:dyDescent="0.35">
      <c r="B320" s="30" t="s">
        <v>45</v>
      </c>
      <c r="C320" s="32" t="s">
        <v>51</v>
      </c>
      <c r="D320" s="32" t="s">
        <v>1135</v>
      </c>
      <c r="E320" s="33" t="s">
        <v>1136</v>
      </c>
      <c r="F320" s="33" t="s">
        <v>1137</v>
      </c>
      <c r="G320" s="34">
        <v>5.6095793617902991</v>
      </c>
      <c r="H320" s="34">
        <v>2.448</v>
      </c>
      <c r="I320" s="32" t="s">
        <v>992</v>
      </c>
      <c r="J320" s="34">
        <f>AVERAGE(G320,G321)</f>
        <v>4.97950994612515</v>
      </c>
      <c r="K320" s="34">
        <f>AVERAGE(H320,H321)</f>
        <v>3.4619</v>
      </c>
      <c r="L320" s="60" t="s">
        <v>929</v>
      </c>
    </row>
    <row r="321" spans="2:12" ht="15" customHeight="1" x14ac:dyDescent="0.35">
      <c r="B321" s="28" t="s">
        <v>45</v>
      </c>
      <c r="C321" s="1" t="s">
        <v>51</v>
      </c>
      <c r="D321" s="1" t="s">
        <v>1135</v>
      </c>
      <c r="E321" s="6" t="s">
        <v>1136</v>
      </c>
      <c r="F321" s="6" t="s">
        <v>1137</v>
      </c>
      <c r="G321" s="36">
        <v>4.3494405304600008</v>
      </c>
      <c r="H321" s="36">
        <v>4.4757999999999996</v>
      </c>
      <c r="I321" s="1" t="s">
        <v>989</v>
      </c>
      <c r="J321" s="36"/>
      <c r="K321" s="36"/>
      <c r="L321" s="37"/>
    </row>
    <row r="322" spans="2:12" ht="15" customHeight="1" x14ac:dyDescent="0.35">
      <c r="B322" s="28" t="s">
        <v>45</v>
      </c>
      <c r="C322" s="1" t="s">
        <v>51</v>
      </c>
      <c r="D322" s="1" t="s">
        <v>1135</v>
      </c>
      <c r="E322" s="6" t="s">
        <v>1136</v>
      </c>
      <c r="F322" s="6" t="s">
        <v>1138</v>
      </c>
      <c r="G322" s="36">
        <v>4.5737940323249049</v>
      </c>
      <c r="H322" s="36">
        <v>1.791666666666667</v>
      </c>
      <c r="I322" s="1" t="s">
        <v>1058</v>
      </c>
      <c r="J322" s="36">
        <v>4.5737940323249049</v>
      </c>
      <c r="K322" s="36">
        <v>1.791666666666667</v>
      </c>
      <c r="L322" s="53" t="s">
        <v>929</v>
      </c>
    </row>
    <row r="323" spans="2:12" ht="15" customHeight="1" x14ac:dyDescent="0.35">
      <c r="B323" s="28" t="s">
        <v>45</v>
      </c>
      <c r="C323" s="1" t="s">
        <v>51</v>
      </c>
      <c r="D323" s="1" t="s">
        <v>1135</v>
      </c>
      <c r="E323" s="6" t="s">
        <v>1136</v>
      </c>
      <c r="F323" s="6" t="s">
        <v>1139</v>
      </c>
      <c r="G323" s="36">
        <v>5.6556805353304256</v>
      </c>
      <c r="H323" s="36">
        <v>2.6266666666666669</v>
      </c>
      <c r="I323" s="1" t="s">
        <v>964</v>
      </c>
      <c r="J323" s="36">
        <f>AVERAGE(G323,G324,G325,G326,G327,G328)</f>
        <v>4.4608254440589468</v>
      </c>
      <c r="K323" s="36">
        <f>AVERAGE(H323,H324,H325,H326,H327,H328)</f>
        <v>3.5966060540466667</v>
      </c>
      <c r="L323" s="53" t="s">
        <v>929</v>
      </c>
    </row>
    <row r="324" spans="2:12" ht="15" customHeight="1" x14ac:dyDescent="0.35">
      <c r="B324" s="28" t="s">
        <v>45</v>
      </c>
      <c r="C324" s="1" t="s">
        <v>51</v>
      </c>
      <c r="D324" s="1" t="s">
        <v>1135</v>
      </c>
      <c r="E324" s="6" t="s">
        <v>1136</v>
      </c>
      <c r="F324" s="6" t="s">
        <v>1139</v>
      </c>
      <c r="G324" s="36">
        <v>5.5792666781886346</v>
      </c>
      <c r="H324" s="36">
        <v>2.0134716071066658</v>
      </c>
      <c r="I324" s="1" t="s">
        <v>1039</v>
      </c>
      <c r="J324" s="36"/>
      <c r="K324" s="36"/>
      <c r="L324" s="37"/>
    </row>
    <row r="325" spans="2:12" ht="15" customHeight="1" x14ac:dyDescent="0.35">
      <c r="B325" s="28" t="s">
        <v>45</v>
      </c>
      <c r="C325" s="1" t="s">
        <v>51</v>
      </c>
      <c r="D325" s="1" t="s">
        <v>1135</v>
      </c>
      <c r="E325" s="6" t="s">
        <v>1136</v>
      </c>
      <c r="F325" s="6" t="s">
        <v>1139</v>
      </c>
      <c r="G325" s="36">
        <v>4.4900496082953332</v>
      </c>
      <c r="H325" s="36">
        <v>4.2341980505066665</v>
      </c>
      <c r="I325" s="1" t="s">
        <v>911</v>
      </c>
      <c r="J325" s="36"/>
      <c r="K325" s="36"/>
      <c r="L325" s="37"/>
    </row>
    <row r="326" spans="2:12" ht="15" customHeight="1" x14ac:dyDescent="0.35">
      <c r="B326" s="28" t="s">
        <v>45</v>
      </c>
      <c r="C326" s="1" t="s">
        <v>51</v>
      </c>
      <c r="D326" s="1" t="s">
        <v>1135</v>
      </c>
      <c r="E326" s="6" t="s">
        <v>1136</v>
      </c>
      <c r="F326" s="6" t="s">
        <v>1139</v>
      </c>
      <c r="G326" s="36">
        <v>4.4899999999999984</v>
      </c>
      <c r="H326" s="36">
        <v>4.234</v>
      </c>
      <c r="I326" s="1" t="s">
        <v>965</v>
      </c>
      <c r="J326" s="36"/>
      <c r="K326" s="36"/>
      <c r="L326" s="37"/>
    </row>
    <row r="327" spans="2:12" ht="15" customHeight="1" x14ac:dyDescent="0.35">
      <c r="B327" s="28" t="s">
        <v>45</v>
      </c>
      <c r="C327" s="1" t="s">
        <v>1671</v>
      </c>
      <c r="D327" s="1" t="s">
        <v>1135</v>
      </c>
      <c r="E327" s="6" t="s">
        <v>1136</v>
      </c>
      <c r="F327" s="6" t="s">
        <v>1139</v>
      </c>
      <c r="G327" s="36">
        <v>4.4899999999999984</v>
      </c>
      <c r="H327" s="36">
        <v>4.234</v>
      </c>
      <c r="I327" s="1" t="s">
        <v>966</v>
      </c>
      <c r="J327" s="36"/>
      <c r="K327" s="36"/>
      <c r="L327" s="37"/>
    </row>
    <row r="328" spans="2:12" ht="15" customHeight="1" thickBot="1" x14ac:dyDescent="0.4">
      <c r="B328" s="29" t="s">
        <v>45</v>
      </c>
      <c r="C328" s="39" t="s">
        <v>51</v>
      </c>
      <c r="D328" s="39" t="s">
        <v>1135</v>
      </c>
      <c r="E328" s="40" t="s">
        <v>1136</v>
      </c>
      <c r="F328" s="40" t="s">
        <v>1139</v>
      </c>
      <c r="G328" s="41">
        <v>2.0599558425392921</v>
      </c>
      <c r="H328" s="41">
        <v>4.2373000000000003</v>
      </c>
      <c r="I328" s="39" t="s">
        <v>913</v>
      </c>
      <c r="J328" s="41"/>
      <c r="K328" s="41"/>
      <c r="L328" s="51"/>
    </row>
    <row r="329" spans="2:12" ht="15" customHeight="1" x14ac:dyDescent="0.35">
      <c r="E329" s="5" t="s">
        <v>1627</v>
      </c>
      <c r="G329" s="36">
        <f>AVERAGE(G320:G328)</f>
        <v>4.5886407321032108</v>
      </c>
      <c r="H329" s="36">
        <f>AVERAGE(H320:H328)</f>
        <v>3.3661225545496301</v>
      </c>
      <c r="L329" s="43" t="s">
        <v>929</v>
      </c>
    </row>
    <row r="330" spans="2:12" ht="15" customHeight="1" thickBot="1" x14ac:dyDescent="0.4"/>
    <row r="331" spans="2:12" ht="15" customHeight="1" x14ac:dyDescent="0.35">
      <c r="B331" s="30" t="s">
        <v>45</v>
      </c>
      <c r="C331" s="32" t="s">
        <v>51</v>
      </c>
      <c r="D331" s="32" t="s">
        <v>1140</v>
      </c>
      <c r="E331" s="33" t="s">
        <v>1141</v>
      </c>
      <c r="F331" s="33" t="s">
        <v>1142</v>
      </c>
      <c r="G331" s="34">
        <v>7.3341683817619678</v>
      </c>
      <c r="H331" s="34">
        <v>2.5099528296466662</v>
      </c>
      <c r="I331" s="32" t="s">
        <v>999</v>
      </c>
      <c r="J331" s="34">
        <f>AVERAGE(G331,G332)</f>
        <v>5.1867842531184225</v>
      </c>
      <c r="K331" s="34">
        <f>AVERAGE(H331,H332)</f>
        <v>1.1676764148233332</v>
      </c>
      <c r="L331" s="35" t="s">
        <v>912</v>
      </c>
    </row>
    <row r="332" spans="2:12" ht="15" customHeight="1" x14ac:dyDescent="0.35">
      <c r="B332" s="28" t="s">
        <v>45</v>
      </c>
      <c r="C332" s="1" t="s">
        <v>51</v>
      </c>
      <c r="D332" s="1" t="s">
        <v>1140</v>
      </c>
      <c r="E332" s="6" t="s">
        <v>1141</v>
      </c>
      <c r="F332" s="6" t="s">
        <v>1142</v>
      </c>
      <c r="G332" s="36">
        <v>3.0394001244748772</v>
      </c>
      <c r="H332" s="36">
        <v>-0.17460000000000001</v>
      </c>
      <c r="I332" s="1" t="s">
        <v>913</v>
      </c>
      <c r="J332" s="36"/>
      <c r="K332" s="36"/>
      <c r="L332" s="37"/>
    </row>
    <row r="333" spans="2:12" ht="15" customHeight="1" x14ac:dyDescent="0.35">
      <c r="B333" s="28" t="s">
        <v>45</v>
      </c>
      <c r="C333" s="1" t="s">
        <v>51</v>
      </c>
      <c r="D333" s="1" t="s">
        <v>1140</v>
      </c>
      <c r="E333" s="6" t="s">
        <v>1141</v>
      </c>
      <c r="F333" s="6" t="s">
        <v>1143</v>
      </c>
      <c r="G333" s="36">
        <v>4.9313816949152329</v>
      </c>
      <c r="H333" s="36">
        <v>3.4659623170685712</v>
      </c>
      <c r="I333" s="1" t="s">
        <v>923</v>
      </c>
      <c r="J333" s="36">
        <v>4.9313816949152329</v>
      </c>
      <c r="K333" s="36">
        <v>3.4659623170685712</v>
      </c>
      <c r="L333" s="53" t="s">
        <v>929</v>
      </c>
    </row>
    <row r="334" spans="2:12" ht="15" customHeight="1" x14ac:dyDescent="0.35">
      <c r="B334" s="28" t="s">
        <v>45</v>
      </c>
      <c r="C334" s="1" t="s">
        <v>51</v>
      </c>
      <c r="D334" s="1" t="s">
        <v>1140</v>
      </c>
      <c r="E334" s="6" t="s">
        <v>1141</v>
      </c>
      <c r="F334" s="6" t="s">
        <v>1144</v>
      </c>
      <c r="G334" s="36">
        <v>4.7858349550000021</v>
      </c>
      <c r="H334" s="36">
        <v>3.7431868420000001</v>
      </c>
      <c r="I334" s="1" t="s">
        <v>928</v>
      </c>
      <c r="J334" s="36">
        <v>4.7858349550000021</v>
      </c>
      <c r="K334" s="36">
        <v>3.7431868420000001</v>
      </c>
      <c r="L334" s="53" t="s">
        <v>929</v>
      </c>
    </row>
    <row r="335" spans="2:12" ht="15" customHeight="1" x14ac:dyDescent="0.35">
      <c r="B335" s="28" t="s">
        <v>45</v>
      </c>
      <c r="C335" s="1" t="s">
        <v>51</v>
      </c>
      <c r="D335" s="1" t="s">
        <v>1140</v>
      </c>
      <c r="E335" s="6" t="s">
        <v>1141</v>
      </c>
      <c r="F335" s="6" t="s">
        <v>1145</v>
      </c>
      <c r="G335" s="36">
        <v>4.6190496082953336</v>
      </c>
      <c r="H335" s="36">
        <v>1.5461980505066659</v>
      </c>
      <c r="I335" s="1" t="s">
        <v>911</v>
      </c>
      <c r="J335" s="36">
        <v>4.6190496082953336</v>
      </c>
      <c r="K335" s="36">
        <v>1.5461980505066659</v>
      </c>
      <c r="L335" s="56" t="s">
        <v>912</v>
      </c>
    </row>
    <row r="336" spans="2:12" ht="15" customHeight="1" x14ac:dyDescent="0.35">
      <c r="B336" s="28" t="s">
        <v>45</v>
      </c>
      <c r="C336" s="1" t="s">
        <v>51</v>
      </c>
      <c r="D336" s="1" t="s">
        <v>1140</v>
      </c>
      <c r="E336" s="6" t="s">
        <v>1141</v>
      </c>
      <c r="F336" s="6" t="s">
        <v>1146</v>
      </c>
      <c r="G336" s="36">
        <v>4.8617343555739687</v>
      </c>
      <c r="H336" s="36">
        <v>1.4710000000000001</v>
      </c>
      <c r="I336" s="1" t="s">
        <v>989</v>
      </c>
      <c r="J336" s="36">
        <f>AVERAGE(G336,G337,G338,G339)</f>
        <v>3.8586832682096848</v>
      </c>
      <c r="K336" s="36">
        <f>AVERAGE(H336,H337,H338,H339)</f>
        <v>3.2803065552600001</v>
      </c>
      <c r="L336" s="53" t="s">
        <v>929</v>
      </c>
    </row>
    <row r="337" spans="2:12" ht="15" customHeight="1" x14ac:dyDescent="0.35">
      <c r="B337" s="28" t="s">
        <v>45</v>
      </c>
      <c r="C337" s="1" t="s">
        <v>51</v>
      </c>
      <c r="D337" s="1" t="s">
        <v>1140</v>
      </c>
      <c r="E337" s="6" t="s">
        <v>1141</v>
      </c>
      <c r="F337" s="6" t="s">
        <v>1146</v>
      </c>
      <c r="G337" s="36">
        <v>5.803049608295332</v>
      </c>
      <c r="H337" s="36">
        <v>1.8351980505066663</v>
      </c>
      <c r="I337" s="1" t="s">
        <v>944</v>
      </c>
      <c r="J337" s="36"/>
      <c r="K337" s="36"/>
      <c r="L337" s="37"/>
    </row>
    <row r="338" spans="2:12" ht="15" customHeight="1" x14ac:dyDescent="0.35">
      <c r="B338" s="28" t="s">
        <v>45</v>
      </c>
      <c r="C338" s="1" t="s">
        <v>51</v>
      </c>
      <c r="D338" s="1" t="s">
        <v>1140</v>
      </c>
      <c r="E338" s="6" t="s">
        <v>1141</v>
      </c>
      <c r="F338" s="6" t="s">
        <v>1146</v>
      </c>
      <c r="G338" s="36">
        <v>3.0666970508120031</v>
      </c>
      <c r="H338" s="36">
        <v>5.3512948372000011</v>
      </c>
      <c r="I338" s="1" t="s">
        <v>1041</v>
      </c>
      <c r="J338" s="36"/>
      <c r="K338" s="36"/>
      <c r="L338" s="37"/>
    </row>
    <row r="339" spans="2:12" ht="15" customHeight="1" x14ac:dyDescent="0.35">
      <c r="B339" s="28" t="s">
        <v>45</v>
      </c>
      <c r="C339" s="1" t="s">
        <v>51</v>
      </c>
      <c r="D339" s="1" t="s">
        <v>1140</v>
      </c>
      <c r="E339" s="6" t="s">
        <v>1141</v>
      </c>
      <c r="F339" s="6" t="s">
        <v>1146</v>
      </c>
      <c r="G339" s="36">
        <v>1.7032520581574353</v>
      </c>
      <c r="H339" s="36">
        <v>4.4637333333333329</v>
      </c>
      <c r="I339" s="1" t="s">
        <v>913</v>
      </c>
      <c r="J339" s="36"/>
      <c r="K339" s="36"/>
      <c r="L339" s="37"/>
    </row>
    <row r="340" spans="2:12" ht="15" customHeight="1" x14ac:dyDescent="0.35">
      <c r="B340" s="28" t="s">
        <v>45</v>
      </c>
      <c r="C340" s="1" t="s">
        <v>51</v>
      </c>
      <c r="D340" s="1" t="s">
        <v>1140</v>
      </c>
      <c r="E340" s="6" t="s">
        <v>1141</v>
      </c>
      <c r="F340" s="6" t="s">
        <v>1147</v>
      </c>
      <c r="G340" s="36">
        <v>5.2149999999999999</v>
      </c>
      <c r="H340" s="36">
        <v>3.1275000000000004</v>
      </c>
      <c r="I340" s="1" t="s">
        <v>965</v>
      </c>
      <c r="J340" s="36">
        <f>AVERAGE(G340,G341)</f>
        <v>4.7425499999999996</v>
      </c>
      <c r="K340" s="36">
        <f>AVERAGE(H340,H341)</f>
        <v>6.9843000000000011</v>
      </c>
      <c r="L340" s="38" t="s">
        <v>918</v>
      </c>
    </row>
    <row r="341" spans="2:12" ht="15" customHeight="1" x14ac:dyDescent="0.35">
      <c r="B341" s="28" t="s">
        <v>45</v>
      </c>
      <c r="C341" s="1" t="s">
        <v>51</v>
      </c>
      <c r="D341" s="1" t="s">
        <v>1140</v>
      </c>
      <c r="E341" s="6" t="s">
        <v>1141</v>
      </c>
      <c r="F341" s="6" t="s">
        <v>1147</v>
      </c>
      <c r="G341" s="36">
        <v>4.2700999999999993</v>
      </c>
      <c r="H341" s="36">
        <v>10.841100000000001</v>
      </c>
      <c r="I341" s="1" t="s">
        <v>966</v>
      </c>
      <c r="J341" s="36"/>
      <c r="K341" s="36"/>
      <c r="L341" s="37"/>
    </row>
    <row r="342" spans="2:12" ht="15" customHeight="1" x14ac:dyDescent="0.35">
      <c r="B342" s="28" t="s">
        <v>45</v>
      </c>
      <c r="C342" s="1" t="s">
        <v>51</v>
      </c>
      <c r="D342" s="1" t="s">
        <v>1140</v>
      </c>
      <c r="E342" s="6" t="s">
        <v>1141</v>
      </c>
      <c r="F342" s="6" t="s">
        <v>1148</v>
      </c>
      <c r="G342" s="36">
        <v>7.6622331282152967</v>
      </c>
      <c r="H342" s="36">
        <v>3.8095148083999995</v>
      </c>
      <c r="I342" s="1" t="s">
        <v>999</v>
      </c>
      <c r="J342" s="36">
        <v>7.6622331282152967</v>
      </c>
      <c r="K342" s="36">
        <v>3.8095148083999995</v>
      </c>
      <c r="L342" s="55" t="s">
        <v>948</v>
      </c>
    </row>
    <row r="343" spans="2:12" ht="15" customHeight="1" x14ac:dyDescent="0.35">
      <c r="B343" s="28" t="s">
        <v>45</v>
      </c>
      <c r="C343" s="1" t="s">
        <v>51</v>
      </c>
      <c r="D343" s="1" t="s">
        <v>1140</v>
      </c>
      <c r="E343" s="6" t="s">
        <v>1141</v>
      </c>
      <c r="F343" s="6" t="s">
        <v>1149</v>
      </c>
      <c r="G343" s="36">
        <v>2.586963990000001</v>
      </c>
      <c r="H343" s="36">
        <v>0.83437197350000014</v>
      </c>
      <c r="I343" s="1" t="s">
        <v>928</v>
      </c>
      <c r="J343" s="36">
        <f>AVERAGE(G343,G344)</f>
        <v>2.7632697014285714</v>
      </c>
      <c r="K343" s="36">
        <f>AVERAGE(H343,H344)</f>
        <v>1.8438023053928576</v>
      </c>
      <c r="L343" s="53" t="s">
        <v>929</v>
      </c>
    </row>
    <row r="344" spans="2:12" ht="15" customHeight="1" x14ac:dyDescent="0.35">
      <c r="B344" s="28" t="s">
        <v>45</v>
      </c>
      <c r="C344" s="1" t="s">
        <v>51</v>
      </c>
      <c r="D344" s="1" t="s">
        <v>1140</v>
      </c>
      <c r="E344" s="6" t="s">
        <v>1141</v>
      </c>
      <c r="F344" s="6" t="s">
        <v>1149</v>
      </c>
      <c r="G344" s="36">
        <v>2.9395754128571419</v>
      </c>
      <c r="H344" s="36">
        <v>2.8532326372857151</v>
      </c>
      <c r="I344" s="1" t="s">
        <v>1012</v>
      </c>
      <c r="J344" s="36"/>
      <c r="K344" s="36"/>
      <c r="L344" s="37"/>
    </row>
    <row r="345" spans="2:12" ht="15" customHeight="1" thickBot="1" x14ac:dyDescent="0.4">
      <c r="B345" s="29" t="s">
        <v>45</v>
      </c>
      <c r="C345" s="39" t="s">
        <v>51</v>
      </c>
      <c r="D345" s="39" t="s">
        <v>1140</v>
      </c>
      <c r="E345" s="40" t="s">
        <v>1141</v>
      </c>
      <c r="F345" s="40" t="s">
        <v>1150</v>
      </c>
      <c r="G345" s="41">
        <v>6.0030496082953313</v>
      </c>
      <c r="H345" s="41">
        <v>4.6451980505066661</v>
      </c>
      <c r="I345" s="39" t="s">
        <v>944</v>
      </c>
      <c r="J345" s="41">
        <v>6.0030496082953313</v>
      </c>
      <c r="K345" s="41">
        <v>4.6451980505066661</v>
      </c>
      <c r="L345" s="42" t="s">
        <v>929</v>
      </c>
    </row>
    <row r="346" spans="2:12" ht="15" customHeight="1" x14ac:dyDescent="0.35">
      <c r="E346" s="5" t="s">
        <v>1628</v>
      </c>
      <c r="G346" s="36">
        <f>AVERAGE(G331:G345)</f>
        <v>4.5880993317769292</v>
      </c>
      <c r="H346" s="36">
        <f>AVERAGE(H331:H345)</f>
        <v>3.3548562486636189</v>
      </c>
      <c r="L346" s="43" t="s">
        <v>929</v>
      </c>
    </row>
    <row r="347" spans="2:12" ht="15" customHeight="1" thickBot="1" x14ac:dyDescent="0.4"/>
    <row r="348" spans="2:12" ht="15" customHeight="1" x14ac:dyDescent="0.35">
      <c r="B348" s="30" t="s">
        <v>45</v>
      </c>
      <c r="C348" s="32" t="s">
        <v>51</v>
      </c>
      <c r="D348" s="32" t="s">
        <v>1151</v>
      </c>
      <c r="E348" s="33" t="s">
        <v>1152</v>
      </c>
      <c r="F348" s="33" t="s">
        <v>1153</v>
      </c>
      <c r="G348" s="34">
        <v>3.25</v>
      </c>
      <c r="H348" s="34">
        <v>3.9</v>
      </c>
      <c r="I348" s="32" t="s">
        <v>938</v>
      </c>
      <c r="J348" s="34">
        <v>3.25</v>
      </c>
      <c r="K348" s="34">
        <v>3.9</v>
      </c>
      <c r="L348" s="60" t="s">
        <v>929</v>
      </c>
    </row>
    <row r="349" spans="2:12" ht="15" customHeight="1" thickBot="1" x14ac:dyDescent="0.4">
      <c r="B349" s="29" t="s">
        <v>45</v>
      </c>
      <c r="C349" s="39" t="s">
        <v>51</v>
      </c>
      <c r="D349" s="39" t="s">
        <v>1154</v>
      </c>
      <c r="E349" s="40" t="s">
        <v>1155</v>
      </c>
      <c r="F349" s="40" t="s">
        <v>1156</v>
      </c>
      <c r="G349" s="41">
        <v>2.8499999999999979</v>
      </c>
      <c r="H349" s="41">
        <v>-0.7</v>
      </c>
      <c r="I349" s="39" t="s">
        <v>938</v>
      </c>
      <c r="J349" s="41">
        <v>2.8499999999999979</v>
      </c>
      <c r="K349" s="41">
        <v>-0.7</v>
      </c>
      <c r="L349" s="54" t="s">
        <v>912</v>
      </c>
    </row>
    <row r="350" spans="2:12" ht="15" customHeight="1" x14ac:dyDescent="0.35">
      <c r="D350" s="4" t="s">
        <v>1632</v>
      </c>
      <c r="E350" s="6" t="s">
        <v>1629</v>
      </c>
      <c r="G350" s="36">
        <f>AVERAGE(G348:G349)</f>
        <v>3.0499999999999989</v>
      </c>
      <c r="H350" s="36">
        <f>AVERAGE(H348:H349)</f>
        <v>1.6</v>
      </c>
      <c r="L350" s="52" t="s">
        <v>912</v>
      </c>
    </row>
    <row r="351" spans="2:12" ht="15" customHeight="1" x14ac:dyDescent="0.35">
      <c r="D351" s="4" t="s">
        <v>1157</v>
      </c>
    </row>
    <row r="352" spans="2:12" ht="15" customHeight="1" thickBot="1" x14ac:dyDescent="0.4"/>
    <row r="353" spans="2:12" ht="15" customHeight="1" x14ac:dyDescent="0.35">
      <c r="B353" s="30" t="s">
        <v>45</v>
      </c>
      <c r="C353" s="32" t="s">
        <v>51</v>
      </c>
      <c r="D353" s="32" t="s">
        <v>1158</v>
      </c>
      <c r="E353" s="33" t="s">
        <v>1159</v>
      </c>
      <c r="F353" s="33" t="s">
        <v>1160</v>
      </c>
      <c r="G353" s="34">
        <v>3.2010811200000013</v>
      </c>
      <c r="H353" s="34">
        <v>2.3215499999999998</v>
      </c>
      <c r="I353" s="32" t="s">
        <v>928</v>
      </c>
      <c r="J353" s="34">
        <f>AVERAGE(G353,G354)</f>
        <v>3.0273244442857141</v>
      </c>
      <c r="K353" s="34">
        <f>AVERAGE(H353,H354)</f>
        <v>3.1377678572857146</v>
      </c>
      <c r="L353" s="60" t="s">
        <v>929</v>
      </c>
    </row>
    <row r="354" spans="2:12" ht="15" customHeight="1" thickBot="1" x14ac:dyDescent="0.4">
      <c r="B354" s="29" t="s">
        <v>45</v>
      </c>
      <c r="C354" s="39" t="s">
        <v>51</v>
      </c>
      <c r="D354" s="39" t="s">
        <v>1158</v>
      </c>
      <c r="E354" s="40" t="s">
        <v>1159</v>
      </c>
      <c r="F354" s="40" t="s">
        <v>1160</v>
      </c>
      <c r="G354" s="41">
        <v>2.8535677685714269</v>
      </c>
      <c r="H354" s="41">
        <v>3.9539857145714294</v>
      </c>
      <c r="I354" s="39" t="s">
        <v>1012</v>
      </c>
      <c r="J354" s="41"/>
      <c r="K354" s="41"/>
      <c r="L354" s="51"/>
    </row>
    <row r="355" spans="2:12" ht="15" customHeight="1" x14ac:dyDescent="0.35">
      <c r="E355" s="5" t="s">
        <v>1672</v>
      </c>
      <c r="G355" s="36">
        <f>AVERAGE(G353:G354)</f>
        <v>3.0273244442857141</v>
      </c>
      <c r="H355" s="36">
        <f>AVERAGE(H353:H354)</f>
        <v>3.1377678572857146</v>
      </c>
      <c r="L355" s="43" t="s">
        <v>929</v>
      </c>
    </row>
    <row r="356" spans="2:12" ht="15" customHeight="1" thickBot="1" x14ac:dyDescent="0.4"/>
    <row r="357" spans="2:12" ht="15" customHeight="1" x14ac:dyDescent="0.35">
      <c r="B357" s="30" t="s">
        <v>45</v>
      </c>
      <c r="C357" s="32" t="s">
        <v>51</v>
      </c>
      <c r="D357" s="32" t="s">
        <v>1158</v>
      </c>
      <c r="E357" s="33" t="s">
        <v>1161</v>
      </c>
      <c r="F357" s="33" t="s">
        <v>1162</v>
      </c>
      <c r="G357" s="34">
        <v>2.6778092099999995</v>
      </c>
      <c r="H357" s="34">
        <v>3.1692833330000001</v>
      </c>
      <c r="I357" s="32" t="s">
        <v>928</v>
      </c>
      <c r="J357" s="34">
        <v>2.6778092099999995</v>
      </c>
      <c r="K357" s="34">
        <v>3.1692833330000001</v>
      </c>
      <c r="L357" s="60" t="s">
        <v>929</v>
      </c>
    </row>
    <row r="358" spans="2:12" ht="15" customHeight="1" x14ac:dyDescent="0.35">
      <c r="B358" s="28" t="s">
        <v>45</v>
      </c>
      <c r="C358" s="1" t="s">
        <v>51</v>
      </c>
      <c r="D358" s="1" t="s">
        <v>1158</v>
      </c>
      <c r="E358" s="6" t="s">
        <v>1163</v>
      </c>
      <c r="F358" s="6" t="s">
        <v>1164</v>
      </c>
      <c r="G358" s="36">
        <v>4.4843935299999984</v>
      </c>
      <c r="H358" s="36">
        <v>3.1476868419999997</v>
      </c>
      <c r="I358" s="1" t="s">
        <v>928</v>
      </c>
      <c r="J358" s="36">
        <v>4.4843935299999984</v>
      </c>
      <c r="K358" s="36">
        <v>3.1476868419999997</v>
      </c>
      <c r="L358" s="53" t="s">
        <v>929</v>
      </c>
    </row>
    <row r="359" spans="2:12" ht="15" customHeight="1" x14ac:dyDescent="0.35">
      <c r="B359" s="28" t="s">
        <v>45</v>
      </c>
      <c r="C359" s="1" t="s">
        <v>51</v>
      </c>
      <c r="D359" s="1" t="s">
        <v>1158</v>
      </c>
      <c r="E359" s="6" t="s">
        <v>1165</v>
      </c>
      <c r="F359" s="6" t="s">
        <v>1166</v>
      </c>
      <c r="G359" s="36">
        <v>3.6791954744444446</v>
      </c>
      <c r="H359" s="36">
        <v>1.7204402288888887</v>
      </c>
      <c r="I359" s="1" t="s">
        <v>928</v>
      </c>
      <c r="J359" s="36">
        <v>3.6791954744444446</v>
      </c>
      <c r="K359" s="36">
        <v>1.7204402288888887</v>
      </c>
      <c r="L359" s="53" t="s">
        <v>929</v>
      </c>
    </row>
    <row r="360" spans="2:12" ht="15" customHeight="1" x14ac:dyDescent="0.35">
      <c r="B360" s="28" t="s">
        <v>45</v>
      </c>
      <c r="C360" s="1" t="s">
        <v>51</v>
      </c>
      <c r="D360" s="1" t="s">
        <v>1158</v>
      </c>
      <c r="E360" s="6" t="s">
        <v>1159</v>
      </c>
      <c r="F360" s="6" t="s">
        <v>1160</v>
      </c>
      <c r="G360" s="36">
        <v>3.2010811200000013</v>
      </c>
      <c r="H360" s="36">
        <v>2.3215499999999998</v>
      </c>
      <c r="I360" s="1" t="s">
        <v>928</v>
      </c>
      <c r="J360" s="36">
        <v>3.0273244442857141</v>
      </c>
      <c r="K360" s="36">
        <v>3.1377678572857146</v>
      </c>
      <c r="L360" s="53" t="s">
        <v>929</v>
      </c>
    </row>
    <row r="361" spans="2:12" ht="15" customHeight="1" x14ac:dyDescent="0.35">
      <c r="B361" s="28" t="s">
        <v>45</v>
      </c>
      <c r="C361" s="1" t="s">
        <v>51</v>
      </c>
      <c r="D361" s="1" t="s">
        <v>1158</v>
      </c>
      <c r="E361" s="6" t="s">
        <v>1159</v>
      </c>
      <c r="F361" s="6" t="s">
        <v>1160</v>
      </c>
      <c r="G361" s="36">
        <v>2.8535677685714269</v>
      </c>
      <c r="H361" s="36">
        <v>3.9539857145714294</v>
      </c>
      <c r="I361" s="1" t="s">
        <v>1012</v>
      </c>
      <c r="J361" s="36"/>
      <c r="K361" s="36"/>
      <c r="L361" s="37"/>
    </row>
    <row r="362" spans="2:12" ht="15" customHeight="1" x14ac:dyDescent="0.35">
      <c r="B362" s="28" t="s">
        <v>45</v>
      </c>
      <c r="C362" s="1" t="s">
        <v>51</v>
      </c>
      <c r="D362" s="1" t="s">
        <v>1158</v>
      </c>
      <c r="E362" s="6" t="s">
        <v>1167</v>
      </c>
      <c r="F362" s="6" t="s">
        <v>1168</v>
      </c>
      <c r="G362" s="36">
        <v>4.6810380962499991</v>
      </c>
      <c r="H362" s="36">
        <v>3.1926930841249996</v>
      </c>
      <c r="I362" s="1" t="s">
        <v>928</v>
      </c>
      <c r="J362" s="36">
        <v>3.9252528952678567</v>
      </c>
      <c r="K362" s="36">
        <v>3.4040727227053571</v>
      </c>
      <c r="L362" s="53" t="s">
        <v>929</v>
      </c>
    </row>
    <row r="363" spans="2:12" ht="15" customHeight="1" thickBot="1" x14ac:dyDescent="0.4">
      <c r="B363" s="29" t="s">
        <v>45</v>
      </c>
      <c r="C363" s="39" t="s">
        <v>51</v>
      </c>
      <c r="D363" s="39" t="s">
        <v>1158</v>
      </c>
      <c r="E363" s="40" t="s">
        <v>1167</v>
      </c>
      <c r="F363" s="40" t="s">
        <v>1168</v>
      </c>
      <c r="G363" s="41">
        <v>3.1694676942857143</v>
      </c>
      <c r="H363" s="41">
        <v>3.6154523612857141</v>
      </c>
      <c r="I363" s="39" t="s">
        <v>1012</v>
      </c>
      <c r="J363" s="41"/>
      <c r="K363" s="41"/>
      <c r="L363" s="51"/>
    </row>
    <row r="364" spans="2:12" ht="15" customHeight="1" x14ac:dyDescent="0.35">
      <c r="D364" s="4" t="s">
        <v>52</v>
      </c>
      <c r="E364" s="6" t="s">
        <v>1673</v>
      </c>
      <c r="G364" s="36">
        <f>AVERAGE(G357:G363)</f>
        <v>3.5352218419359405</v>
      </c>
      <c r="H364" s="36">
        <f>AVERAGE(H357:H363)</f>
        <v>3.0172987948387191</v>
      </c>
      <c r="J364" s="36"/>
      <c r="K364" s="36"/>
      <c r="L364" s="43" t="s">
        <v>929</v>
      </c>
    </row>
    <row r="365" spans="2:12" ht="15" customHeight="1" x14ac:dyDescent="0.35">
      <c r="D365" s="4" t="s">
        <v>1169</v>
      </c>
      <c r="E365" s="6" t="s">
        <v>1674</v>
      </c>
      <c r="G365" s="36">
        <f>AVERAGE(G364:G364)</f>
        <v>3.5352218419359405</v>
      </c>
      <c r="H365" s="36">
        <f>AVERAGE(H364:H364)</f>
        <v>3.0172987948387191</v>
      </c>
      <c r="L365" s="43" t="s">
        <v>929</v>
      </c>
    </row>
    <row r="366" spans="2:12" ht="15" customHeight="1" x14ac:dyDescent="0.35">
      <c r="D366" s="4" t="s">
        <v>1170</v>
      </c>
      <c r="G366" s="36"/>
      <c r="H366" s="36"/>
      <c r="J366" s="36"/>
      <c r="K366" s="36"/>
    </row>
    <row r="367" spans="2:12" ht="15" customHeight="1" thickBot="1" x14ac:dyDescent="0.4"/>
    <row r="368" spans="2:12" ht="15" customHeight="1" x14ac:dyDescent="0.35">
      <c r="B368" s="30" t="s">
        <v>45</v>
      </c>
      <c r="C368" s="32" t="s">
        <v>53</v>
      </c>
      <c r="D368" s="32" t="s">
        <v>1171</v>
      </c>
      <c r="E368" s="33" t="s">
        <v>1172</v>
      </c>
      <c r="F368" s="33" t="s">
        <v>1173</v>
      </c>
      <c r="G368" s="34">
        <v>5.7900496082953339</v>
      </c>
      <c r="H368" s="34">
        <v>3.9211980505066664</v>
      </c>
      <c r="I368" s="32" t="s">
        <v>911</v>
      </c>
      <c r="J368" s="34">
        <f>AVERAGE(G368,G369)</f>
        <v>4.9411581374809987</v>
      </c>
      <c r="K368" s="34">
        <f>AVERAGE(H368,H369)</f>
        <v>4.6489073585866665</v>
      </c>
      <c r="L368" s="60" t="s">
        <v>929</v>
      </c>
    </row>
    <row r="369" spans="2:12" ht="15" customHeight="1" x14ac:dyDescent="0.35">
      <c r="B369" s="28" t="s">
        <v>45</v>
      </c>
      <c r="C369" s="1" t="s">
        <v>53</v>
      </c>
      <c r="D369" s="1" t="s">
        <v>1171</v>
      </c>
      <c r="E369" s="6" t="s">
        <v>1174</v>
      </c>
      <c r="F369" s="6" t="s">
        <v>1173</v>
      </c>
      <c r="G369" s="36">
        <v>4.0922666666666636</v>
      </c>
      <c r="H369" s="36">
        <v>5.376616666666667</v>
      </c>
      <c r="I369" s="1" t="s">
        <v>921</v>
      </c>
      <c r="J369" s="36"/>
      <c r="K369" s="36"/>
      <c r="L369" s="37"/>
    </row>
    <row r="370" spans="2:12" ht="15" customHeight="1" x14ac:dyDescent="0.35">
      <c r="B370" s="28" t="s">
        <v>45</v>
      </c>
      <c r="C370" s="1" t="s">
        <v>53</v>
      </c>
      <c r="D370" s="1" t="s">
        <v>1171</v>
      </c>
      <c r="E370" s="6" t="s">
        <v>1174</v>
      </c>
      <c r="F370" s="71" t="s">
        <v>1175</v>
      </c>
      <c r="G370" s="36">
        <v>1.3325700171153017</v>
      </c>
      <c r="H370" s="36">
        <v>5.8154999999999992</v>
      </c>
      <c r="I370" s="1" t="s">
        <v>913</v>
      </c>
      <c r="J370" s="36">
        <v>1.3325700171153017</v>
      </c>
      <c r="K370" s="36">
        <v>5.8154999999999992</v>
      </c>
      <c r="L370" s="38" t="s">
        <v>918</v>
      </c>
    </row>
    <row r="371" spans="2:12" ht="15" customHeight="1" x14ac:dyDescent="0.35">
      <c r="B371" s="28" t="s">
        <v>45</v>
      </c>
      <c r="C371" s="1" t="s">
        <v>53</v>
      </c>
      <c r="D371" s="1" t="s">
        <v>1171</v>
      </c>
      <c r="E371" s="6" t="s">
        <v>1174</v>
      </c>
      <c r="F371" s="6" t="s">
        <v>1176</v>
      </c>
      <c r="G371" s="36">
        <v>5.6783515673386553</v>
      </c>
      <c r="H371" s="36">
        <v>3.6234690611111118</v>
      </c>
      <c r="I371" s="1" t="s">
        <v>973</v>
      </c>
      <c r="J371" s="36">
        <f>AVERAGE(G371,G372)</f>
        <v>4.7734084269853287</v>
      </c>
      <c r="K371" s="36">
        <f>AVERAGE(H371,H372)</f>
        <v>4.0050393198488887</v>
      </c>
      <c r="L371" s="53" t="s">
        <v>929</v>
      </c>
    </row>
    <row r="372" spans="2:12" ht="15" customHeight="1" x14ac:dyDescent="0.35">
      <c r="B372" s="28" t="s">
        <v>45</v>
      </c>
      <c r="C372" s="1" t="s">
        <v>53</v>
      </c>
      <c r="D372" s="1" t="s">
        <v>1171</v>
      </c>
      <c r="E372" s="6" t="s">
        <v>1174</v>
      </c>
      <c r="F372" s="6" t="s">
        <v>1176</v>
      </c>
      <c r="G372" s="36">
        <v>3.8684652866320022</v>
      </c>
      <c r="H372" s="36">
        <v>4.3866095785866666</v>
      </c>
      <c r="I372" s="1" t="s">
        <v>1076</v>
      </c>
      <c r="J372" s="36"/>
      <c r="K372" s="36"/>
      <c r="L372" s="37"/>
    </row>
    <row r="373" spans="2:12" ht="15" customHeight="1" thickBot="1" x14ac:dyDescent="0.4">
      <c r="B373" s="29" t="s">
        <v>45</v>
      </c>
      <c r="C373" s="39" t="s">
        <v>53</v>
      </c>
      <c r="D373" s="39" t="s">
        <v>1171</v>
      </c>
      <c r="E373" s="40" t="s">
        <v>1172</v>
      </c>
      <c r="F373" s="72" t="s">
        <v>1177</v>
      </c>
      <c r="G373" s="41">
        <v>2.1290307556662036</v>
      </c>
      <c r="H373" s="41">
        <v>3.0909999999999997</v>
      </c>
      <c r="I373" s="39" t="s">
        <v>913</v>
      </c>
      <c r="J373" s="41">
        <v>2.1290307556662036</v>
      </c>
      <c r="K373" s="41">
        <v>3.0909999999999997</v>
      </c>
      <c r="L373" s="42" t="s">
        <v>929</v>
      </c>
    </row>
    <row r="374" spans="2:12" ht="15" customHeight="1" x14ac:dyDescent="0.35">
      <c r="E374" s="5" t="s">
        <v>1635</v>
      </c>
      <c r="G374" s="36">
        <f>AVERAGE(G368:G373)</f>
        <v>3.81512231695236</v>
      </c>
      <c r="H374" s="36">
        <f>AVERAGE(H368:H373)</f>
        <v>4.3690655594785186</v>
      </c>
      <c r="L374" s="43" t="s">
        <v>929</v>
      </c>
    </row>
    <row r="375" spans="2:12" ht="15" customHeight="1" thickBot="1" x14ac:dyDescent="0.4"/>
    <row r="376" spans="2:12" ht="15" customHeight="1" x14ac:dyDescent="0.35">
      <c r="B376" s="30" t="s">
        <v>45</v>
      </c>
      <c r="C376" s="32" t="s">
        <v>53</v>
      </c>
      <c r="D376" s="32" t="s">
        <v>1171</v>
      </c>
      <c r="E376" s="33" t="s">
        <v>1178</v>
      </c>
      <c r="F376" s="33" t="s">
        <v>1179</v>
      </c>
      <c r="G376" s="34">
        <v>4.3233459386655539</v>
      </c>
      <c r="H376" s="34">
        <v>-0.15300000000000002</v>
      </c>
      <c r="I376" s="32" t="s">
        <v>1058</v>
      </c>
      <c r="J376" s="34">
        <f>AVERAGE(G376,G377)</f>
        <v>4.6118361479486083</v>
      </c>
      <c r="K376" s="34">
        <f>AVERAGE(H376,H377)</f>
        <v>0.31480000000000008</v>
      </c>
      <c r="L376" s="35" t="s">
        <v>912</v>
      </c>
    </row>
    <row r="377" spans="2:12" ht="15" customHeight="1" x14ac:dyDescent="0.35">
      <c r="B377" s="28" t="s">
        <v>45</v>
      </c>
      <c r="C377" s="1" t="s">
        <v>53</v>
      </c>
      <c r="D377" s="1" t="s">
        <v>1171</v>
      </c>
      <c r="E377" s="6" t="s">
        <v>1180</v>
      </c>
      <c r="F377" s="6" t="s">
        <v>1179</v>
      </c>
      <c r="G377" s="36">
        <v>4.9003263572316627</v>
      </c>
      <c r="H377" s="36">
        <v>0.78260000000000018</v>
      </c>
      <c r="I377" s="1" t="s">
        <v>989</v>
      </c>
      <c r="J377" s="36"/>
      <c r="K377" s="36"/>
      <c r="L377" s="37"/>
    </row>
    <row r="378" spans="2:12" ht="15" customHeight="1" x14ac:dyDescent="0.35">
      <c r="B378" s="28" t="s">
        <v>45</v>
      </c>
      <c r="C378" s="1" t="s">
        <v>53</v>
      </c>
      <c r="D378" s="1" t="s">
        <v>1171</v>
      </c>
      <c r="E378" s="6" t="s">
        <v>1180</v>
      </c>
      <c r="F378" s="6" t="s">
        <v>1181</v>
      </c>
      <c r="G378" s="36">
        <v>0.52766569248192852</v>
      </c>
      <c r="H378" s="36">
        <v>4.3522947408931358</v>
      </c>
      <c r="I378" s="1" t="s">
        <v>1066</v>
      </c>
      <c r="J378" s="36">
        <f>AVERAGE(G378,G379,G380)</f>
        <v>1.1823483667509431</v>
      </c>
      <c r="K378" s="36">
        <f>AVERAGE(H378,H379,H380)</f>
        <v>1.5899968952977119</v>
      </c>
      <c r="L378" s="64" t="s">
        <v>1015</v>
      </c>
    </row>
    <row r="379" spans="2:12" ht="15" customHeight="1" x14ac:dyDescent="0.35">
      <c r="B379" s="28" t="s">
        <v>45</v>
      </c>
      <c r="C379" s="1" t="s">
        <v>53</v>
      </c>
      <c r="D379" s="1" t="s">
        <v>1171</v>
      </c>
      <c r="E379" s="6" t="s">
        <v>1180</v>
      </c>
      <c r="F379" s="6" t="s">
        <v>1181</v>
      </c>
      <c r="G379" s="36">
        <v>2.1265188561956023</v>
      </c>
      <c r="H379" s="36">
        <v>0.24975000000000014</v>
      </c>
      <c r="I379" s="1" t="s">
        <v>992</v>
      </c>
      <c r="J379" s="36"/>
      <c r="K379" s="36"/>
      <c r="L379" s="37"/>
    </row>
    <row r="380" spans="2:12" ht="15" customHeight="1" thickBot="1" x14ac:dyDescent="0.4">
      <c r="B380" s="29" t="s">
        <v>45</v>
      </c>
      <c r="C380" s="39" t="s">
        <v>53</v>
      </c>
      <c r="D380" s="39" t="s">
        <v>1171</v>
      </c>
      <c r="E380" s="40" t="s">
        <v>1180</v>
      </c>
      <c r="F380" s="40" t="s">
        <v>1181</v>
      </c>
      <c r="G380" s="41">
        <v>0.89286055157529842</v>
      </c>
      <c r="H380" s="41">
        <v>0.1679459449999996</v>
      </c>
      <c r="I380" s="39" t="s">
        <v>999</v>
      </c>
      <c r="J380" s="41"/>
      <c r="K380" s="41"/>
      <c r="L380" s="51"/>
    </row>
    <row r="381" spans="2:12" ht="15" customHeight="1" x14ac:dyDescent="0.35">
      <c r="E381" s="5" t="s">
        <v>1636</v>
      </c>
      <c r="G381" s="36">
        <f>AVERAGE(G376:G380)</f>
        <v>2.5541434792300093</v>
      </c>
      <c r="H381" s="36">
        <f>AVERAGE(H376:H380)</f>
        <v>1.0799181371786273</v>
      </c>
      <c r="L381" s="52" t="s">
        <v>912</v>
      </c>
    </row>
    <row r="382" spans="2:12" ht="15" customHeight="1" thickBot="1" x14ac:dyDescent="0.4"/>
    <row r="383" spans="2:12" ht="15" customHeight="1" x14ac:dyDescent="0.35">
      <c r="B383" s="30" t="s">
        <v>45</v>
      </c>
      <c r="C383" s="32" t="s">
        <v>54</v>
      </c>
      <c r="D383" s="32" t="s">
        <v>1182</v>
      </c>
      <c r="E383" s="33" t="s">
        <v>1183</v>
      </c>
      <c r="F383" s="33" t="s">
        <v>1184</v>
      </c>
      <c r="G383" s="34">
        <v>3.5393166499999964</v>
      </c>
      <c r="H383" s="34">
        <v>2.0020845026666669</v>
      </c>
      <c r="I383" s="32" t="s">
        <v>928</v>
      </c>
      <c r="J383" s="34">
        <v>3.5393166499999964</v>
      </c>
      <c r="K383" s="34">
        <v>2.0020845026666669</v>
      </c>
      <c r="L383" s="60" t="s">
        <v>929</v>
      </c>
    </row>
    <row r="384" spans="2:12" ht="15" customHeight="1" x14ac:dyDescent="0.35">
      <c r="B384" s="28" t="s">
        <v>45</v>
      </c>
      <c r="C384" s="1" t="s">
        <v>54</v>
      </c>
      <c r="D384" s="1" t="s">
        <v>1182</v>
      </c>
      <c r="E384" s="6" t="s">
        <v>1183</v>
      </c>
      <c r="F384" s="6" t="s">
        <v>1185</v>
      </c>
      <c r="G384" s="36">
        <v>3.3796604899999991</v>
      </c>
      <c r="H384" s="36">
        <v>5.5164142859999998</v>
      </c>
      <c r="I384" s="1" t="s">
        <v>1012</v>
      </c>
      <c r="J384" s="36">
        <v>3.3796604899999991</v>
      </c>
      <c r="K384" s="36">
        <v>5.5164142859999998</v>
      </c>
      <c r="L384" s="38" t="s">
        <v>918</v>
      </c>
    </row>
    <row r="385" spans="2:12" ht="15" customHeight="1" x14ac:dyDescent="0.35">
      <c r="B385" s="28" t="s">
        <v>45</v>
      </c>
      <c r="C385" s="1" t="s">
        <v>54</v>
      </c>
      <c r="D385" s="1" t="s">
        <v>1182</v>
      </c>
      <c r="E385" s="6" t="s">
        <v>1183</v>
      </c>
      <c r="F385" s="6" t="s">
        <v>1186</v>
      </c>
      <c r="G385" s="36">
        <v>4.4960496082953334</v>
      </c>
      <c r="H385" s="36">
        <v>3.2121980505066658</v>
      </c>
      <c r="I385" s="1" t="s">
        <v>911</v>
      </c>
      <c r="J385" s="36">
        <f>AVERAGE(G385,G386)</f>
        <v>4.0048581374809995</v>
      </c>
      <c r="K385" s="36">
        <f>AVERAGE(H385,H386)</f>
        <v>3.4853073585866663</v>
      </c>
      <c r="L385" s="53" t="s">
        <v>929</v>
      </c>
    </row>
    <row r="386" spans="2:12" ht="15" customHeight="1" x14ac:dyDescent="0.35">
      <c r="B386" s="28" t="s">
        <v>45</v>
      </c>
      <c r="C386" s="1" t="s">
        <v>54</v>
      </c>
      <c r="D386" s="1" t="s">
        <v>1182</v>
      </c>
      <c r="E386" s="6" t="s">
        <v>1183</v>
      </c>
      <c r="F386" s="6" t="s">
        <v>1186</v>
      </c>
      <c r="G386" s="36">
        <v>3.5136666666666656</v>
      </c>
      <c r="H386" s="36">
        <v>3.7584166666666667</v>
      </c>
      <c r="I386" s="1" t="s">
        <v>921</v>
      </c>
      <c r="J386" s="36"/>
      <c r="K386" s="36"/>
      <c r="L386" s="37"/>
    </row>
    <row r="387" spans="2:12" ht="15" customHeight="1" thickBot="1" x14ac:dyDescent="0.4">
      <c r="B387" s="29" t="s">
        <v>45</v>
      </c>
      <c r="C387" s="39" t="s">
        <v>54</v>
      </c>
      <c r="D387" s="39" t="s">
        <v>1182</v>
      </c>
      <c r="E387" s="40" t="s">
        <v>1183</v>
      </c>
      <c r="F387" s="40" t="s">
        <v>1187</v>
      </c>
      <c r="G387" s="41">
        <v>5.2230496082953337</v>
      </c>
      <c r="H387" s="41">
        <v>2.3651980505066659</v>
      </c>
      <c r="I387" s="39" t="s">
        <v>944</v>
      </c>
      <c r="J387" s="41">
        <v>5.2230496082953337</v>
      </c>
      <c r="K387" s="41">
        <v>2.3651980505066659</v>
      </c>
      <c r="L387" s="42" t="s">
        <v>929</v>
      </c>
    </row>
    <row r="388" spans="2:12" ht="15" customHeight="1" x14ac:dyDescent="0.35">
      <c r="E388" s="5" t="s">
        <v>1675</v>
      </c>
      <c r="G388" s="36">
        <f>AVERAGE(G383:G387)</f>
        <v>4.0303486046514658</v>
      </c>
      <c r="H388" s="36">
        <f>AVERAGE(H383:H387)</f>
        <v>3.3708623112693332</v>
      </c>
      <c r="L388" s="43" t="s">
        <v>929</v>
      </c>
    </row>
    <row r="389" spans="2:12" ht="15" customHeight="1" thickBot="1" x14ac:dyDescent="0.4">
      <c r="G389" s="36"/>
      <c r="H389" s="36"/>
    </row>
    <row r="390" spans="2:12" ht="15" customHeight="1" x14ac:dyDescent="0.35">
      <c r="B390" s="30" t="s">
        <v>45</v>
      </c>
      <c r="C390" s="32" t="s">
        <v>54</v>
      </c>
      <c r="D390" s="32" t="s">
        <v>1182</v>
      </c>
      <c r="E390" s="33" t="s">
        <v>1188</v>
      </c>
      <c r="F390" s="33" t="s">
        <v>1189</v>
      </c>
      <c r="G390" s="34">
        <v>4.5092159036028612</v>
      </c>
      <c r="H390" s="34">
        <v>4.2045610149925059</v>
      </c>
      <c r="I390" s="32" t="s">
        <v>975</v>
      </c>
      <c r="J390" s="34">
        <v>5.1419239341021346</v>
      </c>
      <c r="K390" s="34">
        <v>3.667730175403936</v>
      </c>
      <c r="L390" s="60" t="s">
        <v>929</v>
      </c>
    </row>
    <row r="391" spans="2:12" ht="15" customHeight="1" x14ac:dyDescent="0.35">
      <c r="B391" s="28" t="s">
        <v>45</v>
      </c>
      <c r="C391" s="1" t="s">
        <v>54</v>
      </c>
      <c r="D391" s="1" t="s">
        <v>1182</v>
      </c>
      <c r="E391" s="6" t="s">
        <v>1188</v>
      </c>
      <c r="F391" s="6" t="s">
        <v>1189</v>
      </c>
      <c r="G391" s="36">
        <v>5.3507283128770595</v>
      </c>
      <c r="H391" s="36">
        <v>2.335</v>
      </c>
      <c r="I391" s="1" t="s">
        <v>964</v>
      </c>
      <c r="J391" s="36"/>
      <c r="K391" s="36"/>
      <c r="L391" s="37"/>
    </row>
    <row r="392" spans="2:12" ht="15" customHeight="1" x14ac:dyDescent="0.35">
      <c r="B392" s="28" t="s">
        <v>45</v>
      </c>
      <c r="C392" s="1" t="s">
        <v>54</v>
      </c>
      <c r="D392" s="1" t="s">
        <v>1182</v>
      </c>
      <c r="E392" s="6" t="s">
        <v>1188</v>
      </c>
      <c r="F392" s="6" t="s">
        <v>1189</v>
      </c>
      <c r="G392" s="36">
        <v>4.0897497798375575</v>
      </c>
      <c r="H392" s="36">
        <v>3.5290719869244445</v>
      </c>
      <c r="I392" s="1" t="s">
        <v>1076</v>
      </c>
      <c r="J392" s="36"/>
      <c r="K392" s="36"/>
      <c r="L392" s="37"/>
    </row>
    <row r="393" spans="2:12" ht="15" customHeight="1" x14ac:dyDescent="0.35">
      <c r="B393" s="28" t="s">
        <v>45</v>
      </c>
      <c r="C393" s="1" t="s">
        <v>54</v>
      </c>
      <c r="D393" s="1" t="s">
        <v>1182</v>
      </c>
      <c r="E393" s="6" t="s">
        <v>1188</v>
      </c>
      <c r="F393" s="6" t="s">
        <v>1189</v>
      </c>
      <c r="G393" s="36">
        <v>6.4260496082953331</v>
      </c>
      <c r="H393" s="36">
        <v>3.6131980505066656</v>
      </c>
      <c r="I393" s="1" t="s">
        <v>911</v>
      </c>
      <c r="J393" s="36"/>
      <c r="K393" s="36"/>
      <c r="L393" s="37"/>
    </row>
    <row r="394" spans="2:12" ht="15" customHeight="1" x14ac:dyDescent="0.35">
      <c r="B394" s="28" t="s">
        <v>45</v>
      </c>
      <c r="C394" s="1" t="s">
        <v>54</v>
      </c>
      <c r="D394" s="1" t="s">
        <v>1182</v>
      </c>
      <c r="E394" s="6" t="s">
        <v>1188</v>
      </c>
      <c r="F394" s="6" t="s">
        <v>1189</v>
      </c>
      <c r="G394" s="36">
        <v>5.8683999999999994</v>
      </c>
      <c r="H394" s="36">
        <v>3.7073500000000004</v>
      </c>
      <c r="I394" s="1" t="s">
        <v>965</v>
      </c>
      <c r="J394" s="36"/>
      <c r="K394" s="36"/>
      <c r="L394" s="37"/>
    </row>
    <row r="395" spans="2:12" ht="15" customHeight="1" x14ac:dyDescent="0.35">
      <c r="B395" s="28" t="s">
        <v>45</v>
      </c>
      <c r="C395" s="1" t="s">
        <v>54</v>
      </c>
      <c r="D395" s="1" t="s">
        <v>1182</v>
      </c>
      <c r="E395" s="6" t="s">
        <v>1188</v>
      </c>
      <c r="F395" s="6" t="s">
        <v>1189</v>
      </c>
      <c r="G395" s="36">
        <v>4.6073999999999984</v>
      </c>
      <c r="H395" s="36">
        <v>4.6172000000000004</v>
      </c>
      <c r="I395" s="1" t="s">
        <v>966</v>
      </c>
      <c r="J395" s="36"/>
      <c r="K395" s="36"/>
      <c r="L395" s="37"/>
    </row>
    <row r="396" spans="2:12" ht="15" customHeight="1" x14ac:dyDescent="0.35">
      <c r="B396" s="28" t="s">
        <v>45</v>
      </c>
      <c r="C396" s="1" t="s">
        <v>54</v>
      </c>
      <c r="D396" s="1" t="s">
        <v>1182</v>
      </c>
      <c r="E396" s="6" t="s">
        <v>1190</v>
      </c>
      <c r="F396" s="6" t="s">
        <v>1191</v>
      </c>
      <c r="G396" s="36">
        <v>3.5393166499999964</v>
      </c>
      <c r="H396" s="36">
        <v>2.0020845026666669</v>
      </c>
      <c r="I396" s="1" t="s">
        <v>928</v>
      </c>
      <c r="J396" s="36">
        <v>3.5393166499999964</v>
      </c>
      <c r="K396" s="36">
        <v>2.0020845026666669</v>
      </c>
      <c r="L396" s="53" t="s">
        <v>929</v>
      </c>
    </row>
    <row r="397" spans="2:12" ht="15" customHeight="1" x14ac:dyDescent="0.35">
      <c r="B397" s="28" t="s">
        <v>45</v>
      </c>
      <c r="C397" s="1" t="s">
        <v>54</v>
      </c>
      <c r="D397" s="1" t="s">
        <v>1182</v>
      </c>
      <c r="E397" s="6" t="s">
        <v>1183</v>
      </c>
      <c r="F397" s="6" t="s">
        <v>1184</v>
      </c>
      <c r="G397" s="36">
        <v>3.5393166499999964</v>
      </c>
      <c r="H397" s="36">
        <v>2.0020845026666669</v>
      </c>
      <c r="I397" s="1" t="s">
        <v>928</v>
      </c>
      <c r="J397" s="36">
        <v>3.5393166499999964</v>
      </c>
      <c r="K397" s="36">
        <v>2.0020845026666669</v>
      </c>
      <c r="L397" s="53" t="s">
        <v>929</v>
      </c>
    </row>
    <row r="398" spans="2:12" ht="15" customHeight="1" x14ac:dyDescent="0.35">
      <c r="B398" s="28" t="s">
        <v>45</v>
      </c>
      <c r="C398" s="1" t="s">
        <v>54</v>
      </c>
      <c r="D398" s="1" t="s">
        <v>1182</v>
      </c>
      <c r="E398" s="6" t="s">
        <v>1183</v>
      </c>
      <c r="F398" s="6" t="s">
        <v>1185</v>
      </c>
      <c r="G398" s="36">
        <v>3.3796604899999991</v>
      </c>
      <c r="H398" s="36">
        <v>5.5164142859999998</v>
      </c>
      <c r="I398" s="1" t="s">
        <v>1012</v>
      </c>
      <c r="J398" s="36">
        <v>3.3796604899999991</v>
      </c>
      <c r="K398" s="36">
        <v>5.5164142859999998</v>
      </c>
      <c r="L398" s="38" t="s">
        <v>918</v>
      </c>
    </row>
    <row r="399" spans="2:12" ht="15" customHeight="1" x14ac:dyDescent="0.35">
      <c r="B399" s="28" t="s">
        <v>45</v>
      </c>
      <c r="C399" s="1" t="s">
        <v>54</v>
      </c>
      <c r="D399" s="1" t="s">
        <v>1182</v>
      </c>
      <c r="E399" s="6" t="s">
        <v>1183</v>
      </c>
      <c r="F399" s="6" t="s">
        <v>1186</v>
      </c>
      <c r="G399" s="36">
        <v>4.4960496082953334</v>
      </c>
      <c r="H399" s="36">
        <v>3.2121980505066658</v>
      </c>
      <c r="I399" s="1" t="s">
        <v>911</v>
      </c>
      <c r="J399" s="36">
        <v>4.0048581374809995</v>
      </c>
      <c r="K399" s="36">
        <v>3.4853073585866663</v>
      </c>
      <c r="L399" s="53" t="s">
        <v>929</v>
      </c>
    </row>
    <row r="400" spans="2:12" ht="15" customHeight="1" x14ac:dyDescent="0.35">
      <c r="B400" s="28" t="s">
        <v>45</v>
      </c>
      <c r="C400" s="1" t="s">
        <v>54</v>
      </c>
      <c r="D400" s="1" t="s">
        <v>1182</v>
      </c>
      <c r="E400" s="6" t="s">
        <v>1183</v>
      </c>
      <c r="F400" s="6" t="s">
        <v>1186</v>
      </c>
      <c r="G400" s="36">
        <v>3.5136666666666656</v>
      </c>
      <c r="H400" s="36">
        <v>3.7584166666666667</v>
      </c>
      <c r="I400" s="1" t="s">
        <v>921</v>
      </c>
      <c r="J400" s="36"/>
      <c r="K400" s="36"/>
      <c r="L400" s="37"/>
    </row>
    <row r="401" spans="2:12" ht="15" customHeight="1" x14ac:dyDescent="0.35">
      <c r="B401" s="28" t="s">
        <v>45</v>
      </c>
      <c r="C401" s="1" t="s">
        <v>54</v>
      </c>
      <c r="D401" s="1" t="s">
        <v>1182</v>
      </c>
      <c r="E401" s="6" t="s">
        <v>1183</v>
      </c>
      <c r="F401" s="6" t="s">
        <v>1187</v>
      </c>
      <c r="G401" s="36">
        <v>5.2230496082953337</v>
      </c>
      <c r="H401" s="36">
        <v>2.3651980505066659</v>
      </c>
      <c r="I401" s="1" t="s">
        <v>944</v>
      </c>
      <c r="J401" s="36">
        <v>5.2230496082953337</v>
      </c>
      <c r="K401" s="36">
        <v>2.3651980505066659</v>
      </c>
      <c r="L401" s="53" t="s">
        <v>929</v>
      </c>
    </row>
    <row r="402" spans="2:12" ht="15" customHeight="1" x14ac:dyDescent="0.35">
      <c r="B402" s="28" t="s">
        <v>45</v>
      </c>
      <c r="C402" s="1" t="s">
        <v>54</v>
      </c>
      <c r="D402" s="1" t="s">
        <v>1182</v>
      </c>
      <c r="E402" s="6" t="s">
        <v>1192</v>
      </c>
      <c r="F402" s="6" t="s">
        <v>1193</v>
      </c>
      <c r="G402" s="36">
        <v>3.4399999999999977</v>
      </c>
      <c r="H402" s="36">
        <v>1.8200000000000003</v>
      </c>
      <c r="I402" s="1" t="s">
        <v>965</v>
      </c>
      <c r="J402" s="36">
        <v>3.4399999999999977</v>
      </c>
      <c r="K402" s="36">
        <v>1.8200000000000003</v>
      </c>
      <c r="L402" s="53" t="s">
        <v>929</v>
      </c>
    </row>
    <row r="403" spans="2:12" ht="15" customHeight="1" x14ac:dyDescent="0.35">
      <c r="B403" s="28" t="s">
        <v>45</v>
      </c>
      <c r="C403" s="1" t="s">
        <v>54</v>
      </c>
      <c r="D403" s="1" t="s">
        <v>1182</v>
      </c>
      <c r="E403" s="6" t="s">
        <v>1192</v>
      </c>
      <c r="F403" s="6" t="s">
        <v>1194</v>
      </c>
      <c r="G403" s="36">
        <v>3.25</v>
      </c>
      <c r="H403" s="36">
        <v>3</v>
      </c>
      <c r="I403" s="1" t="s">
        <v>938</v>
      </c>
      <c r="J403" s="36">
        <v>3.25</v>
      </c>
      <c r="K403" s="36">
        <v>3</v>
      </c>
      <c r="L403" s="53" t="s">
        <v>929</v>
      </c>
    </row>
    <row r="404" spans="2:12" ht="15" customHeight="1" x14ac:dyDescent="0.35">
      <c r="B404" s="28" t="s">
        <v>45</v>
      </c>
      <c r="C404" s="1" t="s">
        <v>54</v>
      </c>
      <c r="D404" s="1" t="s">
        <v>1182</v>
      </c>
      <c r="E404" s="6" t="s">
        <v>1192</v>
      </c>
      <c r="F404" s="6" t="s">
        <v>1195</v>
      </c>
      <c r="G404" s="36">
        <v>2.513949423333333</v>
      </c>
      <c r="H404" s="36">
        <v>2.1910268903333332</v>
      </c>
      <c r="I404" s="1" t="s">
        <v>928</v>
      </c>
      <c r="J404" s="36">
        <v>2.513949423333333</v>
      </c>
      <c r="K404" s="36">
        <v>2.1910268903333332</v>
      </c>
      <c r="L404" s="53" t="s">
        <v>929</v>
      </c>
    </row>
    <row r="405" spans="2:12" ht="15" customHeight="1" x14ac:dyDescent="0.35">
      <c r="B405" s="28" t="s">
        <v>45</v>
      </c>
      <c r="C405" s="1" t="s">
        <v>54</v>
      </c>
      <c r="D405" s="1" t="s">
        <v>1182</v>
      </c>
      <c r="E405" s="6" t="s">
        <v>1192</v>
      </c>
      <c r="F405" s="6" t="s">
        <v>1196</v>
      </c>
      <c r="G405" s="36">
        <v>3.3499999999999979</v>
      </c>
      <c r="H405" s="36">
        <v>3</v>
      </c>
      <c r="I405" s="1" t="s">
        <v>938</v>
      </c>
      <c r="J405" s="36">
        <v>3.3499999999999979</v>
      </c>
      <c r="K405" s="36">
        <v>3</v>
      </c>
      <c r="L405" s="53" t="s">
        <v>929</v>
      </c>
    </row>
    <row r="406" spans="2:12" ht="15" customHeight="1" x14ac:dyDescent="0.35">
      <c r="B406" s="28" t="s">
        <v>45</v>
      </c>
      <c r="C406" s="1" t="s">
        <v>54</v>
      </c>
      <c r="D406" s="1" t="s">
        <v>1182</v>
      </c>
      <c r="E406" s="6" t="s">
        <v>1192</v>
      </c>
      <c r="F406" s="6" t="s">
        <v>1197</v>
      </c>
      <c r="G406" s="36">
        <v>6.3178434383652995</v>
      </c>
      <c r="H406" s="36">
        <v>2.36207803344</v>
      </c>
      <c r="I406" s="1" t="s">
        <v>999</v>
      </c>
      <c r="J406" s="36">
        <v>5.5775561156517819</v>
      </c>
      <c r="K406" s="36">
        <v>3.7946735980066801</v>
      </c>
      <c r="L406" s="53" t="s">
        <v>929</v>
      </c>
    </row>
    <row r="407" spans="2:12" ht="15" customHeight="1" x14ac:dyDescent="0.35">
      <c r="B407" s="28" t="s">
        <v>45</v>
      </c>
      <c r="C407" s="1" t="s">
        <v>54</v>
      </c>
      <c r="D407" s="1" t="s">
        <v>1182</v>
      </c>
      <c r="E407" s="6" t="s">
        <v>1192</v>
      </c>
      <c r="F407" s="6" t="s">
        <v>1197</v>
      </c>
      <c r="G407" s="36">
        <v>6.0030496082953313</v>
      </c>
      <c r="H407" s="36">
        <v>3.565198050506666</v>
      </c>
      <c r="I407" s="1" t="s">
        <v>944</v>
      </c>
      <c r="J407" s="36"/>
      <c r="K407" s="36"/>
      <c r="L407" s="37"/>
    </row>
    <row r="408" spans="2:12" ht="15" customHeight="1" x14ac:dyDescent="0.35">
      <c r="B408" s="28" t="s">
        <v>45</v>
      </c>
      <c r="C408" s="1" t="s">
        <v>54</v>
      </c>
      <c r="D408" s="1" t="s">
        <v>1182</v>
      </c>
      <c r="E408" s="6" t="s">
        <v>1192</v>
      </c>
      <c r="F408" s="6" t="s">
        <v>1197</v>
      </c>
      <c r="G408" s="36">
        <v>4.4117753002947167</v>
      </c>
      <c r="H408" s="36">
        <v>5.4567447100733748</v>
      </c>
      <c r="I408" s="1" t="s">
        <v>923</v>
      </c>
      <c r="J408" s="36"/>
      <c r="K408" s="36"/>
      <c r="L408" s="37"/>
    </row>
    <row r="409" spans="2:12" ht="15" customHeight="1" x14ac:dyDescent="0.35">
      <c r="B409" s="28" t="s">
        <v>45</v>
      </c>
      <c r="C409" s="1" t="s">
        <v>54</v>
      </c>
      <c r="D409" s="1" t="s">
        <v>1182</v>
      </c>
      <c r="E409" s="6" t="s">
        <v>1192</v>
      </c>
      <c r="F409" s="6" t="s">
        <v>1198</v>
      </c>
      <c r="G409" s="36">
        <v>3.9283411500000014</v>
      </c>
      <c r="H409" s="36">
        <v>2.059728195285714</v>
      </c>
      <c r="I409" s="1" t="s">
        <v>928</v>
      </c>
      <c r="J409" s="36">
        <v>3.9283411500000014</v>
      </c>
      <c r="K409" s="36">
        <v>2.059728195285714</v>
      </c>
      <c r="L409" s="53" t="s">
        <v>929</v>
      </c>
    </row>
    <row r="410" spans="2:12" ht="15" customHeight="1" thickBot="1" x14ac:dyDescent="0.4">
      <c r="B410" s="29" t="s">
        <v>45</v>
      </c>
      <c r="C410" s="39" t="s">
        <v>54</v>
      </c>
      <c r="D410" s="39" t="s">
        <v>1182</v>
      </c>
      <c r="E410" s="40" t="s">
        <v>1199</v>
      </c>
      <c r="F410" s="40" t="s">
        <v>1200</v>
      </c>
      <c r="G410" s="41">
        <v>4.5436136347774552</v>
      </c>
      <c r="H410" s="41">
        <v>7.8737667688969042</v>
      </c>
      <c r="I410" s="39" t="s">
        <v>923</v>
      </c>
      <c r="J410" s="41">
        <v>4.5436136347774552</v>
      </c>
      <c r="K410" s="41">
        <v>7.8737667688969042</v>
      </c>
      <c r="L410" s="65" t="s">
        <v>918</v>
      </c>
    </row>
    <row r="411" spans="2:12" ht="15" customHeight="1" x14ac:dyDescent="0.35">
      <c r="D411" s="4" t="s">
        <v>1677</v>
      </c>
      <c r="E411" s="6" t="s">
        <v>1676</v>
      </c>
      <c r="G411" s="36">
        <f>AVERAGE(G390:G410)</f>
        <v>4.3952940872826796</v>
      </c>
      <c r="H411" s="36">
        <f>AVERAGE(H390:H410)</f>
        <v>3.4376818933320443</v>
      </c>
      <c r="L411" s="43" t="s">
        <v>929</v>
      </c>
    </row>
    <row r="412" spans="2:12" ht="15" customHeight="1" x14ac:dyDescent="0.35">
      <c r="D412" s="4" t="s">
        <v>1201</v>
      </c>
      <c r="G412" s="36"/>
      <c r="H412" s="36"/>
    </row>
    <row r="413" spans="2:12" ht="15" customHeight="1" thickBot="1" x14ac:dyDescent="0.4"/>
    <row r="414" spans="2:12" ht="15" customHeight="1" x14ac:dyDescent="0.35">
      <c r="B414" s="30" t="s">
        <v>45</v>
      </c>
      <c r="C414" s="32" t="s">
        <v>54</v>
      </c>
      <c r="D414" s="32" t="s">
        <v>1182</v>
      </c>
      <c r="E414" s="33" t="s">
        <v>1192</v>
      </c>
      <c r="F414" s="33" t="s">
        <v>1193</v>
      </c>
      <c r="G414" s="34">
        <v>3.4399999999999977</v>
      </c>
      <c r="H414" s="34">
        <v>1.8200000000000003</v>
      </c>
      <c r="I414" s="32" t="s">
        <v>965</v>
      </c>
      <c r="J414" s="34">
        <v>3.4399999999999977</v>
      </c>
      <c r="K414" s="34">
        <v>1.8200000000000003</v>
      </c>
      <c r="L414" s="60" t="s">
        <v>929</v>
      </c>
    </row>
    <row r="415" spans="2:12" ht="15" customHeight="1" x14ac:dyDescent="0.35">
      <c r="B415" s="28" t="s">
        <v>45</v>
      </c>
      <c r="C415" s="1" t="s">
        <v>54</v>
      </c>
      <c r="D415" s="1" t="s">
        <v>1182</v>
      </c>
      <c r="E415" s="6" t="s">
        <v>1192</v>
      </c>
      <c r="F415" s="6" t="s">
        <v>1194</v>
      </c>
      <c r="G415" s="36">
        <v>3.25</v>
      </c>
      <c r="H415" s="36">
        <v>3</v>
      </c>
      <c r="I415" s="1" t="s">
        <v>938</v>
      </c>
      <c r="J415" s="36">
        <v>3.25</v>
      </c>
      <c r="K415" s="36">
        <v>3</v>
      </c>
      <c r="L415" s="53" t="s">
        <v>929</v>
      </c>
    </row>
    <row r="416" spans="2:12" ht="15" customHeight="1" x14ac:dyDescent="0.35">
      <c r="B416" s="28" t="s">
        <v>45</v>
      </c>
      <c r="C416" s="1" t="s">
        <v>54</v>
      </c>
      <c r="D416" s="1" t="s">
        <v>1182</v>
      </c>
      <c r="E416" s="6" t="s">
        <v>1192</v>
      </c>
      <c r="F416" s="6" t="s">
        <v>1195</v>
      </c>
      <c r="G416" s="36">
        <v>2.513949423333333</v>
      </c>
      <c r="H416" s="36">
        <v>2.1910268903333332</v>
      </c>
      <c r="I416" s="1" t="s">
        <v>928</v>
      </c>
      <c r="J416" s="36">
        <v>2.513949423333333</v>
      </c>
      <c r="K416" s="36">
        <v>2.1910268903333332</v>
      </c>
      <c r="L416" s="53" t="s">
        <v>929</v>
      </c>
    </row>
    <row r="417" spans="2:12" ht="15" customHeight="1" x14ac:dyDescent="0.35">
      <c r="B417" s="28" t="s">
        <v>45</v>
      </c>
      <c r="C417" s="1" t="s">
        <v>54</v>
      </c>
      <c r="D417" s="1" t="s">
        <v>1182</v>
      </c>
      <c r="E417" s="6" t="s">
        <v>1192</v>
      </c>
      <c r="F417" s="6" t="s">
        <v>1196</v>
      </c>
      <c r="G417" s="36">
        <v>3.3499999999999979</v>
      </c>
      <c r="H417" s="36">
        <v>3</v>
      </c>
      <c r="I417" s="1" t="s">
        <v>938</v>
      </c>
      <c r="J417" s="36">
        <v>3.3499999999999979</v>
      </c>
      <c r="K417" s="36">
        <v>3</v>
      </c>
      <c r="L417" s="53" t="s">
        <v>929</v>
      </c>
    </row>
    <row r="418" spans="2:12" ht="15" customHeight="1" x14ac:dyDescent="0.35">
      <c r="B418" s="28" t="s">
        <v>45</v>
      </c>
      <c r="C418" s="1" t="s">
        <v>54</v>
      </c>
      <c r="D418" s="1" t="s">
        <v>1182</v>
      </c>
      <c r="E418" s="6" t="s">
        <v>1192</v>
      </c>
      <c r="F418" s="6" t="s">
        <v>1197</v>
      </c>
      <c r="G418" s="36">
        <v>6.3178434383652995</v>
      </c>
      <c r="H418" s="36">
        <v>2.36207803344</v>
      </c>
      <c r="I418" s="1" t="s">
        <v>999</v>
      </c>
      <c r="J418" s="36">
        <f>AVERAGE(G418,G419,G420)</f>
        <v>5.5775561156517819</v>
      </c>
      <c r="K418" s="36">
        <f>AVERAGE(H418,H419,H420)</f>
        <v>3.7946735980066801</v>
      </c>
      <c r="L418" s="53" t="s">
        <v>929</v>
      </c>
    </row>
    <row r="419" spans="2:12" ht="15" customHeight="1" x14ac:dyDescent="0.35">
      <c r="B419" s="28" t="s">
        <v>45</v>
      </c>
      <c r="C419" s="1" t="s">
        <v>54</v>
      </c>
      <c r="D419" s="1" t="s">
        <v>1182</v>
      </c>
      <c r="E419" s="6" t="s">
        <v>1192</v>
      </c>
      <c r="F419" s="6" t="s">
        <v>1197</v>
      </c>
      <c r="G419" s="36">
        <v>6.0030496082953313</v>
      </c>
      <c r="H419" s="36">
        <v>3.565198050506666</v>
      </c>
      <c r="I419" s="1" t="s">
        <v>944</v>
      </c>
      <c r="J419" s="36"/>
      <c r="K419" s="36"/>
      <c r="L419" s="37"/>
    </row>
    <row r="420" spans="2:12" ht="15" customHeight="1" x14ac:dyDescent="0.35">
      <c r="B420" s="28" t="s">
        <v>45</v>
      </c>
      <c r="C420" s="1" t="s">
        <v>54</v>
      </c>
      <c r="D420" s="1" t="s">
        <v>1182</v>
      </c>
      <c r="E420" s="6" t="s">
        <v>1192</v>
      </c>
      <c r="F420" s="6" t="s">
        <v>1197</v>
      </c>
      <c r="G420" s="36">
        <v>4.4117753002947167</v>
      </c>
      <c r="H420" s="36">
        <v>5.4567447100733748</v>
      </c>
      <c r="I420" s="1" t="s">
        <v>923</v>
      </c>
      <c r="J420" s="36"/>
      <c r="K420" s="36"/>
      <c r="L420" s="37"/>
    </row>
    <row r="421" spans="2:12" ht="15" customHeight="1" thickBot="1" x14ac:dyDescent="0.4">
      <c r="B421" s="29" t="s">
        <v>45</v>
      </c>
      <c r="C421" s="39" t="s">
        <v>54</v>
      </c>
      <c r="D421" s="39" t="s">
        <v>1182</v>
      </c>
      <c r="E421" s="40" t="s">
        <v>1192</v>
      </c>
      <c r="F421" s="40" t="s">
        <v>1198</v>
      </c>
      <c r="G421" s="41">
        <v>3.9283411500000014</v>
      </c>
      <c r="H421" s="41">
        <v>2.059728195285714</v>
      </c>
      <c r="I421" s="39" t="s">
        <v>928</v>
      </c>
      <c r="J421" s="41">
        <v>3.9283411500000014</v>
      </c>
      <c r="K421" s="41">
        <v>2.059728195285714</v>
      </c>
      <c r="L421" s="42" t="s">
        <v>929</v>
      </c>
    </row>
    <row r="422" spans="2:12" ht="15" customHeight="1" x14ac:dyDescent="0.35">
      <c r="E422" s="5" t="s">
        <v>1678</v>
      </c>
      <c r="G422" s="36">
        <f>AVERAGE(G414:G421)</f>
        <v>4.151869865036085</v>
      </c>
      <c r="H422" s="36">
        <f>AVERAGE(H414:H421)</f>
        <v>2.9318469849548858</v>
      </c>
      <c r="L422" s="43" t="s">
        <v>929</v>
      </c>
    </row>
    <row r="424" spans="2:12" ht="15" customHeight="1" x14ac:dyDescent="0.35">
      <c r="B424" s="129" t="s">
        <v>1875</v>
      </c>
    </row>
    <row r="425" spans="2:12" ht="15" customHeight="1" x14ac:dyDescent="0.35">
      <c r="B425" s="183" t="s">
        <v>1992</v>
      </c>
      <c r="C425" s="183"/>
      <c r="D425" s="183"/>
      <c r="E425" s="183"/>
      <c r="F425" s="183"/>
      <c r="G425" s="183"/>
      <c r="H425" s="183"/>
      <c r="I425" s="183"/>
      <c r="J425" s="183"/>
    </row>
    <row r="426" spans="2:12" ht="15" customHeight="1" x14ac:dyDescent="0.35">
      <c r="B426" s="183"/>
      <c r="C426" s="183"/>
      <c r="D426" s="183"/>
      <c r="E426" s="183"/>
      <c r="F426" s="183"/>
      <c r="G426" s="183"/>
      <c r="H426" s="183"/>
      <c r="I426" s="183"/>
      <c r="J426" s="183"/>
    </row>
    <row r="427" spans="2:12" ht="15" customHeight="1" x14ac:dyDescent="0.35">
      <c r="B427" s="183"/>
      <c r="C427" s="183"/>
      <c r="D427" s="183"/>
      <c r="E427" s="183"/>
      <c r="F427" s="183"/>
      <c r="G427" s="183"/>
      <c r="H427" s="183"/>
      <c r="I427" s="183"/>
      <c r="J427" s="183"/>
    </row>
    <row r="428" spans="2:12" ht="15" customHeight="1" x14ac:dyDescent="0.35">
      <c r="B428" s="183"/>
      <c r="C428" s="183"/>
      <c r="D428" s="183"/>
      <c r="E428" s="183"/>
      <c r="F428" s="183"/>
      <c r="G428" s="183"/>
      <c r="H428" s="183"/>
      <c r="I428" s="183"/>
      <c r="J428" s="183"/>
    </row>
    <row r="429" spans="2:12" ht="15" customHeight="1" x14ac:dyDescent="0.35">
      <c r="B429" s="183"/>
      <c r="C429" s="183"/>
      <c r="D429" s="183"/>
      <c r="E429" s="183"/>
      <c r="F429" s="183"/>
      <c r="G429" s="183"/>
      <c r="H429" s="183"/>
      <c r="I429" s="183"/>
      <c r="J429" s="183"/>
    </row>
    <row r="430" spans="2:12" ht="15" customHeight="1" x14ac:dyDescent="0.35">
      <c r="B430" s="183"/>
      <c r="C430" s="183"/>
      <c r="D430" s="183"/>
      <c r="E430" s="183"/>
      <c r="F430" s="183"/>
      <c r="G430" s="183"/>
      <c r="H430" s="183"/>
      <c r="I430" s="183"/>
      <c r="J430" s="183"/>
    </row>
    <row r="431" spans="2:12" ht="15" customHeight="1" x14ac:dyDescent="0.35">
      <c r="B431" s="183"/>
      <c r="C431" s="183"/>
      <c r="D431" s="183"/>
      <c r="E431" s="183"/>
      <c r="F431" s="183"/>
      <c r="G431" s="183"/>
      <c r="H431" s="183"/>
      <c r="I431" s="183"/>
      <c r="J431" s="183"/>
    </row>
    <row r="432" spans="2:12" ht="15" customHeight="1" x14ac:dyDescent="0.35">
      <c r="B432" s="183"/>
      <c r="C432" s="183"/>
      <c r="D432" s="183"/>
      <c r="E432" s="183"/>
      <c r="F432" s="183"/>
      <c r="G432" s="183"/>
      <c r="H432" s="183"/>
      <c r="I432" s="183"/>
      <c r="J432" s="183"/>
    </row>
    <row r="433" spans="2:10" ht="15" customHeight="1" x14ac:dyDescent="0.35">
      <c r="B433" s="183"/>
      <c r="C433" s="183"/>
      <c r="D433" s="183"/>
      <c r="E433" s="183"/>
      <c r="F433" s="183"/>
      <c r="G433" s="183"/>
      <c r="H433" s="183"/>
      <c r="I433" s="183"/>
      <c r="J433" s="183"/>
    </row>
    <row r="434" spans="2:10" ht="15" customHeight="1" x14ac:dyDescent="0.35">
      <c r="B434" s="183"/>
      <c r="C434" s="183"/>
      <c r="D434" s="183"/>
      <c r="E434" s="183"/>
      <c r="F434" s="183"/>
      <c r="G434" s="183"/>
      <c r="H434" s="183"/>
      <c r="I434" s="183"/>
      <c r="J434" s="183"/>
    </row>
    <row r="435" spans="2:10" ht="15" customHeight="1" x14ac:dyDescent="0.35">
      <c r="B435" s="183"/>
      <c r="C435" s="183"/>
      <c r="D435" s="183"/>
      <c r="E435" s="183"/>
      <c r="F435" s="183"/>
      <c r="G435" s="183"/>
      <c r="H435" s="183"/>
      <c r="I435" s="183"/>
      <c r="J435" s="183"/>
    </row>
    <row r="436" spans="2:10" ht="15" customHeight="1" x14ac:dyDescent="0.35">
      <c r="B436" s="183"/>
      <c r="C436" s="183"/>
      <c r="D436" s="183"/>
      <c r="E436" s="183"/>
      <c r="F436" s="183"/>
      <c r="G436" s="183"/>
      <c r="H436" s="183"/>
      <c r="I436" s="183"/>
      <c r="J436" s="183"/>
    </row>
    <row r="437" spans="2:10" ht="15" customHeight="1" x14ac:dyDescent="0.35">
      <c r="B437" s="183"/>
      <c r="C437" s="183"/>
      <c r="D437" s="183"/>
      <c r="E437" s="183"/>
      <c r="F437" s="183"/>
      <c r="G437" s="183"/>
      <c r="H437" s="183"/>
      <c r="I437" s="183"/>
      <c r="J437" s="183"/>
    </row>
    <row r="438" spans="2:10" ht="15" customHeight="1" x14ac:dyDescent="0.35">
      <c r="B438" s="183"/>
      <c r="C438" s="183"/>
      <c r="D438" s="183"/>
      <c r="E438" s="183"/>
      <c r="F438" s="183"/>
      <c r="G438" s="183"/>
      <c r="H438" s="183"/>
      <c r="I438" s="183"/>
      <c r="J438" s="183"/>
    </row>
    <row r="439" spans="2:10" ht="15" customHeight="1" x14ac:dyDescent="0.35">
      <c r="B439" s="183"/>
      <c r="C439" s="183"/>
      <c r="D439" s="183"/>
      <c r="E439" s="183"/>
      <c r="F439" s="183"/>
      <c r="G439" s="183"/>
      <c r="H439" s="183"/>
      <c r="I439" s="183"/>
      <c r="J439" s="183"/>
    </row>
    <row r="440" spans="2:10" ht="15" customHeight="1" x14ac:dyDescent="0.35">
      <c r="B440" s="183"/>
      <c r="C440" s="183"/>
      <c r="D440" s="183"/>
      <c r="E440" s="183"/>
      <c r="F440" s="183"/>
      <c r="G440" s="183"/>
      <c r="H440" s="183"/>
      <c r="I440" s="183"/>
      <c r="J440" s="183"/>
    </row>
    <row r="441" spans="2:10" ht="15" customHeight="1" x14ac:dyDescent="0.35">
      <c r="B441" s="183"/>
      <c r="C441" s="183"/>
      <c r="D441" s="183"/>
      <c r="E441" s="183"/>
      <c r="F441" s="183"/>
      <c r="G441" s="183"/>
      <c r="H441" s="183"/>
      <c r="I441" s="183"/>
      <c r="J441" s="183"/>
    </row>
    <row r="442" spans="2:10" ht="15" customHeight="1" x14ac:dyDescent="0.35">
      <c r="B442" s="183"/>
      <c r="C442" s="183"/>
      <c r="D442" s="183"/>
      <c r="E442" s="183"/>
      <c r="F442" s="183"/>
      <c r="G442" s="183"/>
      <c r="H442" s="183"/>
      <c r="I442" s="183"/>
      <c r="J442" s="183"/>
    </row>
    <row r="443" spans="2:10" ht="15" customHeight="1" x14ac:dyDescent="0.35">
      <c r="B443" s="183"/>
      <c r="C443" s="183"/>
      <c r="D443" s="183"/>
      <c r="E443" s="183"/>
      <c r="F443" s="183"/>
      <c r="G443" s="183"/>
      <c r="H443" s="183"/>
      <c r="I443" s="183"/>
      <c r="J443" s="183"/>
    </row>
    <row r="444" spans="2:10" ht="15" customHeight="1" x14ac:dyDescent="0.35">
      <c r="B444" s="183"/>
      <c r="C444" s="183"/>
      <c r="D444" s="183"/>
      <c r="E444" s="183"/>
      <c r="F444" s="183"/>
      <c r="G444" s="183"/>
      <c r="H444" s="183"/>
      <c r="I444" s="183"/>
      <c r="J444" s="183"/>
    </row>
    <row r="445" spans="2:10" ht="15" customHeight="1" x14ac:dyDescent="0.35">
      <c r="B445" s="183"/>
      <c r="C445" s="183"/>
      <c r="D445" s="183"/>
      <c r="E445" s="183"/>
      <c r="F445" s="183"/>
      <c r="G445" s="183"/>
      <c r="H445" s="183"/>
      <c r="I445" s="183"/>
      <c r="J445" s="183"/>
    </row>
    <row r="446" spans="2:10" ht="15" customHeight="1" x14ac:dyDescent="0.35">
      <c r="B446" s="183"/>
      <c r="C446" s="183"/>
      <c r="D446" s="183"/>
      <c r="E446" s="183"/>
      <c r="F446" s="183"/>
      <c r="G446" s="183"/>
      <c r="H446" s="183"/>
      <c r="I446" s="183"/>
      <c r="J446" s="183"/>
    </row>
    <row r="447" spans="2:10" ht="15" customHeight="1" x14ac:dyDescent="0.35">
      <c r="B447" s="183"/>
      <c r="C447" s="183"/>
      <c r="D447" s="183"/>
      <c r="E447" s="183"/>
      <c r="F447" s="183"/>
      <c r="G447" s="183"/>
      <c r="H447" s="183"/>
      <c r="I447" s="183"/>
      <c r="J447" s="183"/>
    </row>
  </sheetData>
  <mergeCells count="2">
    <mergeCell ref="B2:L2"/>
    <mergeCell ref="B425:J447"/>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B3582-9C19-4608-BAA7-D4ED61CDD3A1}">
  <dimension ref="B2:AI459"/>
  <sheetViews>
    <sheetView workbookViewId="0">
      <pane xSplit="1" ySplit="3" topLeftCell="B4" activePane="bottomRight" state="frozen"/>
      <selection pane="topRight" activeCell="B1" sqref="B1"/>
      <selection pane="bottomLeft" activeCell="A3" sqref="A3"/>
      <selection pane="bottomRight" activeCell="B439" sqref="B439"/>
    </sheetView>
  </sheetViews>
  <sheetFormatPr defaultRowHeight="15" customHeight="1" x14ac:dyDescent="0.35"/>
  <cols>
    <col min="1" max="1" width="4.2109375" style="1" customWidth="1"/>
    <col min="2" max="2" width="15.7109375" style="1" customWidth="1"/>
    <col min="3" max="3" width="16.85546875" style="1" customWidth="1"/>
    <col min="4" max="4" width="20.7109375" style="1" customWidth="1"/>
    <col min="5" max="5" width="29.0703125" style="6" customWidth="1"/>
    <col min="6" max="6" width="20.85546875" style="1" customWidth="1"/>
    <col min="7" max="16384" width="9.140625" style="1"/>
  </cols>
  <sheetData>
    <row r="2" spans="2:6" ht="25" customHeight="1" thickBot="1" x14ac:dyDescent="0.4">
      <c r="B2" s="186" t="s">
        <v>1993</v>
      </c>
      <c r="C2" s="186"/>
      <c r="D2" s="186"/>
      <c r="E2" s="186"/>
      <c r="F2" s="186"/>
    </row>
    <row r="3" spans="2:6" s="2" customFormat="1" ht="15" customHeight="1" thickBot="1" x14ac:dyDescent="0.4">
      <c r="B3" s="102" t="s">
        <v>1825</v>
      </c>
      <c r="C3" s="106" t="s">
        <v>1826</v>
      </c>
      <c r="D3" s="106" t="s">
        <v>1827</v>
      </c>
      <c r="E3" s="106" t="s">
        <v>1828</v>
      </c>
      <c r="F3" s="107" t="s">
        <v>1829</v>
      </c>
    </row>
    <row r="4" spans="2:6" ht="15" customHeight="1" thickBot="1" x14ac:dyDescent="0.4">
      <c r="B4" s="44" t="s">
        <v>35</v>
      </c>
      <c r="C4" s="45" t="s">
        <v>1202</v>
      </c>
      <c r="D4" s="73" t="s">
        <v>1203</v>
      </c>
      <c r="E4" s="46" t="s">
        <v>1204</v>
      </c>
      <c r="F4" s="74" t="s">
        <v>1205</v>
      </c>
    </row>
    <row r="5" spans="2:6" ht="15" customHeight="1" x14ac:dyDescent="0.35">
      <c r="D5" s="75"/>
      <c r="E5" s="5" t="s">
        <v>1560</v>
      </c>
      <c r="F5" s="4" t="s">
        <v>1205</v>
      </c>
    </row>
    <row r="6" spans="2:6" ht="15" customHeight="1" thickBot="1" x14ac:dyDescent="0.4"/>
    <row r="7" spans="2:6" ht="15" customHeight="1" x14ac:dyDescent="0.35">
      <c r="B7" s="30" t="s">
        <v>35</v>
      </c>
      <c r="C7" s="32" t="s">
        <v>36</v>
      </c>
      <c r="D7" s="32" t="s">
        <v>914</v>
      </c>
      <c r="E7" s="33" t="s">
        <v>1206</v>
      </c>
      <c r="F7" s="76" t="s">
        <v>1205</v>
      </c>
    </row>
    <row r="8" spans="2:6" ht="15" customHeight="1" thickBot="1" x14ac:dyDescent="0.4">
      <c r="B8" s="29"/>
      <c r="C8" s="39"/>
      <c r="D8" s="39"/>
      <c r="E8" s="40" t="s">
        <v>1207</v>
      </c>
      <c r="F8" s="51" t="s">
        <v>1205</v>
      </c>
    </row>
    <row r="9" spans="2:6" ht="15" customHeight="1" x14ac:dyDescent="0.35">
      <c r="E9" s="5" t="s">
        <v>1561</v>
      </c>
      <c r="F9" s="4" t="s">
        <v>1205</v>
      </c>
    </row>
    <row r="10" spans="2:6" ht="15" customHeight="1" thickBot="1" x14ac:dyDescent="0.4"/>
    <row r="11" spans="2:6" ht="15" customHeight="1" x14ac:dyDescent="0.35">
      <c r="B11" s="30" t="s">
        <v>35</v>
      </c>
      <c r="C11" s="32" t="s">
        <v>36</v>
      </c>
      <c r="D11" s="32" t="s">
        <v>914</v>
      </c>
      <c r="E11" s="33" t="s">
        <v>920</v>
      </c>
      <c r="F11" s="76" t="s">
        <v>1205</v>
      </c>
    </row>
    <row r="12" spans="2:6" ht="15" customHeight="1" thickBot="1" x14ac:dyDescent="0.4">
      <c r="B12" s="29"/>
      <c r="C12" s="39"/>
      <c r="D12" s="39"/>
      <c r="E12" s="40" t="s">
        <v>922</v>
      </c>
      <c r="F12" s="51" t="s">
        <v>1205</v>
      </c>
    </row>
    <row r="13" spans="2:6" ht="15" customHeight="1" x14ac:dyDescent="0.35">
      <c r="B13" s="4"/>
      <c r="E13" s="5" t="s">
        <v>1562</v>
      </c>
      <c r="F13" s="4" t="s">
        <v>1205</v>
      </c>
    </row>
    <row r="14" spans="2:6" ht="15" customHeight="1" thickBot="1" x14ac:dyDescent="0.4">
      <c r="B14" s="4"/>
      <c r="E14" s="5"/>
      <c r="F14" s="4"/>
    </row>
    <row r="15" spans="2:6" ht="15" customHeight="1" thickBot="1" x14ac:dyDescent="0.4">
      <c r="B15" s="44" t="s">
        <v>35</v>
      </c>
      <c r="C15" s="45" t="s">
        <v>36</v>
      </c>
      <c r="D15" s="45" t="s">
        <v>908</v>
      </c>
      <c r="E15" s="46" t="s">
        <v>910</v>
      </c>
      <c r="F15" s="74" t="s">
        <v>1205</v>
      </c>
    </row>
    <row r="16" spans="2:6" ht="15" customHeight="1" x14ac:dyDescent="0.35">
      <c r="B16" s="4"/>
      <c r="E16" s="5" t="s">
        <v>1563</v>
      </c>
      <c r="F16" s="4" t="s">
        <v>1205</v>
      </c>
    </row>
    <row r="17" spans="2:6" ht="15" customHeight="1" thickBot="1" x14ac:dyDescent="0.4"/>
    <row r="18" spans="2:6" ht="15" customHeight="1" thickBot="1" x14ac:dyDescent="0.4">
      <c r="B18" s="44" t="s">
        <v>35</v>
      </c>
      <c r="C18" s="45" t="s">
        <v>1831</v>
      </c>
      <c r="D18" s="45" t="s">
        <v>1830</v>
      </c>
      <c r="E18" s="46" t="s">
        <v>1208</v>
      </c>
      <c r="F18" s="74" t="s">
        <v>1205</v>
      </c>
    </row>
    <row r="19" spans="2:6" ht="15" customHeight="1" x14ac:dyDescent="0.35">
      <c r="E19" s="5" t="s">
        <v>1581</v>
      </c>
      <c r="F19" s="5" t="s">
        <v>1205</v>
      </c>
    </row>
    <row r="20" spans="2:6" ht="15" customHeight="1" thickBot="1" x14ac:dyDescent="0.4"/>
    <row r="21" spans="2:6" ht="15" customHeight="1" x14ac:dyDescent="0.35">
      <c r="B21" s="30" t="s">
        <v>35</v>
      </c>
      <c r="C21" s="32" t="s">
        <v>1831</v>
      </c>
      <c r="D21" s="32" t="s">
        <v>1830</v>
      </c>
      <c r="E21" s="33" t="s">
        <v>1209</v>
      </c>
      <c r="F21" s="76" t="s">
        <v>1205</v>
      </c>
    </row>
    <row r="22" spans="2:6" ht="15" customHeight="1" x14ac:dyDescent="0.35">
      <c r="B22" s="28"/>
      <c r="E22" s="6" t="s">
        <v>1210</v>
      </c>
      <c r="F22" s="37" t="s">
        <v>1205</v>
      </c>
    </row>
    <row r="23" spans="2:6" ht="15" customHeight="1" x14ac:dyDescent="0.35">
      <c r="B23" s="28"/>
      <c r="E23" s="6" t="s">
        <v>1211</v>
      </c>
      <c r="F23" s="37" t="s">
        <v>1205</v>
      </c>
    </row>
    <row r="24" spans="2:6" ht="15" customHeight="1" x14ac:dyDescent="0.35">
      <c r="B24" s="28"/>
      <c r="E24" s="6" t="s">
        <v>1212</v>
      </c>
      <c r="F24" s="37" t="s">
        <v>1205</v>
      </c>
    </row>
    <row r="25" spans="2:6" ht="15" customHeight="1" thickBot="1" x14ac:dyDescent="0.4">
      <c r="B25" s="29"/>
      <c r="C25" s="39"/>
      <c r="D25" s="39"/>
      <c r="E25" s="40" t="s">
        <v>1213</v>
      </c>
      <c r="F25" s="51" t="s">
        <v>1205</v>
      </c>
    </row>
    <row r="26" spans="2:6" ht="15" customHeight="1" x14ac:dyDescent="0.35">
      <c r="E26" s="5" t="s">
        <v>1582</v>
      </c>
      <c r="F26" s="4" t="s">
        <v>1205</v>
      </c>
    </row>
    <row r="27" spans="2:6" ht="15" customHeight="1" thickBot="1" x14ac:dyDescent="0.4"/>
    <row r="28" spans="2:6" ht="15" customHeight="1" thickBot="1" x14ac:dyDescent="0.4">
      <c r="B28" s="44" t="s">
        <v>979</v>
      </c>
      <c r="C28" s="45" t="s">
        <v>1833</v>
      </c>
      <c r="D28" s="45" t="s">
        <v>1832</v>
      </c>
      <c r="E28" s="46" t="s">
        <v>1214</v>
      </c>
      <c r="F28" s="74" t="s">
        <v>1205</v>
      </c>
    </row>
    <row r="29" spans="2:6" ht="15" customHeight="1" x14ac:dyDescent="0.35">
      <c r="E29" s="5" t="s">
        <v>1584</v>
      </c>
      <c r="F29" s="4" t="s">
        <v>1205</v>
      </c>
    </row>
    <row r="30" spans="2:6" ht="15" customHeight="1" thickBot="1" x14ac:dyDescent="0.4"/>
    <row r="31" spans="2:6" ht="15" customHeight="1" x14ac:dyDescent="0.35">
      <c r="B31" s="30" t="s">
        <v>38</v>
      </c>
      <c r="C31" s="32" t="s">
        <v>1834</v>
      </c>
      <c r="D31" s="32" t="s">
        <v>941</v>
      </c>
      <c r="E31" s="33" t="s">
        <v>1215</v>
      </c>
      <c r="F31" s="76" t="s">
        <v>1205</v>
      </c>
    </row>
    <row r="32" spans="2:6" ht="15" customHeight="1" x14ac:dyDescent="0.35">
      <c r="B32" s="28"/>
      <c r="E32" s="6" t="s">
        <v>1216</v>
      </c>
      <c r="F32" s="37" t="s">
        <v>1217</v>
      </c>
    </row>
    <row r="33" spans="2:6" ht="15" customHeight="1" x14ac:dyDescent="0.35">
      <c r="B33" s="28"/>
      <c r="E33" s="6" t="s">
        <v>1218</v>
      </c>
      <c r="F33" s="37" t="s">
        <v>1205</v>
      </c>
    </row>
    <row r="34" spans="2:6" ht="15" customHeight="1" x14ac:dyDescent="0.35">
      <c r="B34" s="28"/>
      <c r="E34" s="6" t="s">
        <v>1219</v>
      </c>
      <c r="F34" s="37" t="s">
        <v>1205</v>
      </c>
    </row>
    <row r="35" spans="2:6" ht="15" customHeight="1" thickBot="1" x14ac:dyDescent="0.4">
      <c r="B35" s="29"/>
      <c r="C35" s="39"/>
      <c r="D35" s="39"/>
      <c r="E35" s="40" t="s">
        <v>1220</v>
      </c>
      <c r="F35" s="51" t="s">
        <v>1205</v>
      </c>
    </row>
    <row r="36" spans="2:6" ht="15" customHeight="1" x14ac:dyDescent="0.35">
      <c r="E36" s="5" t="s">
        <v>1586</v>
      </c>
      <c r="F36" s="4" t="s">
        <v>1205</v>
      </c>
    </row>
    <row r="37" spans="2:6" ht="15" customHeight="1" thickBot="1" x14ac:dyDescent="0.4"/>
    <row r="38" spans="2:6" ht="15" customHeight="1" thickBot="1" x14ac:dyDescent="0.4">
      <c r="B38" s="44" t="s">
        <v>38</v>
      </c>
      <c r="C38" s="45" t="s">
        <v>949</v>
      </c>
      <c r="D38" s="45" t="s">
        <v>967</v>
      </c>
      <c r="E38" s="46" t="s">
        <v>955</v>
      </c>
      <c r="F38" s="74" t="s">
        <v>1205</v>
      </c>
    </row>
    <row r="39" spans="2:6" ht="15" customHeight="1" x14ac:dyDescent="0.35">
      <c r="B39" s="4"/>
      <c r="E39" s="5" t="s">
        <v>1588</v>
      </c>
      <c r="F39" s="4" t="s">
        <v>1205</v>
      </c>
    </row>
    <row r="40" spans="2:6" ht="15" customHeight="1" thickBot="1" x14ac:dyDescent="0.4">
      <c r="B40" s="4"/>
      <c r="E40" s="5"/>
      <c r="F40" s="4"/>
    </row>
    <row r="41" spans="2:6" ht="15" customHeight="1" x14ac:dyDescent="0.35">
      <c r="B41" s="30" t="s">
        <v>38</v>
      </c>
      <c r="C41" s="32" t="s">
        <v>949</v>
      </c>
      <c r="D41" s="32" t="s">
        <v>967</v>
      </c>
      <c r="E41" s="33" t="s">
        <v>1221</v>
      </c>
      <c r="F41" s="76" t="s">
        <v>1205</v>
      </c>
    </row>
    <row r="42" spans="2:6" ht="15" customHeight="1" x14ac:dyDescent="0.35">
      <c r="B42" s="28"/>
      <c r="E42" s="6" t="s">
        <v>1222</v>
      </c>
      <c r="F42" s="37" t="s">
        <v>1205</v>
      </c>
    </row>
    <row r="43" spans="2:6" ht="15" customHeight="1" x14ac:dyDescent="0.35">
      <c r="B43" s="120"/>
      <c r="D43" s="119"/>
      <c r="E43" s="6" t="s">
        <v>1223</v>
      </c>
      <c r="F43" s="37" t="s">
        <v>1217</v>
      </c>
    </row>
    <row r="44" spans="2:6" ht="15" customHeight="1" thickBot="1" x14ac:dyDescent="0.4">
      <c r="B44" s="121"/>
      <c r="C44" s="39"/>
      <c r="D44" s="77"/>
      <c r="E44" s="40" t="s">
        <v>1224</v>
      </c>
      <c r="F44" s="51" t="s">
        <v>1217</v>
      </c>
    </row>
    <row r="45" spans="2:6" ht="15" customHeight="1" x14ac:dyDescent="0.35">
      <c r="B45" s="4"/>
      <c r="E45" s="5" t="s">
        <v>1646</v>
      </c>
    </row>
    <row r="46" spans="2:6" ht="15" customHeight="1" x14ac:dyDescent="0.35">
      <c r="B46" s="4"/>
      <c r="E46" s="5" t="s">
        <v>1225</v>
      </c>
    </row>
    <row r="47" spans="2:6" ht="15" customHeight="1" thickBot="1" x14ac:dyDescent="0.4"/>
    <row r="48" spans="2:6" ht="15" customHeight="1" x14ac:dyDescent="0.35">
      <c r="B48" s="30" t="s">
        <v>38</v>
      </c>
      <c r="C48" s="32" t="s">
        <v>1835</v>
      </c>
      <c r="D48" s="32" t="s">
        <v>1836</v>
      </c>
      <c r="E48" s="33" t="s">
        <v>1226</v>
      </c>
      <c r="F48" s="76" t="s">
        <v>1217</v>
      </c>
    </row>
    <row r="49" spans="2:6" ht="15" customHeight="1" x14ac:dyDescent="0.35">
      <c r="B49" s="28"/>
      <c r="E49" s="6" t="s">
        <v>1227</v>
      </c>
      <c r="F49" s="37" t="s">
        <v>1217</v>
      </c>
    </row>
    <row r="50" spans="2:6" ht="15" customHeight="1" x14ac:dyDescent="0.35">
      <c r="B50" s="28"/>
      <c r="E50" s="6" t="s">
        <v>1228</v>
      </c>
      <c r="F50" s="37" t="s">
        <v>1217</v>
      </c>
    </row>
    <row r="51" spans="2:6" ht="15" customHeight="1" x14ac:dyDescent="0.35">
      <c r="B51" s="28"/>
      <c r="E51" s="6" t="s">
        <v>1229</v>
      </c>
      <c r="F51" s="37" t="s">
        <v>1217</v>
      </c>
    </row>
    <row r="52" spans="2:6" ht="15" customHeight="1" x14ac:dyDescent="0.35">
      <c r="B52" s="28"/>
      <c r="E52" s="6" t="s">
        <v>959</v>
      </c>
      <c r="F52" s="37" t="s">
        <v>1217</v>
      </c>
    </row>
    <row r="53" spans="2:6" ht="15" customHeight="1" x14ac:dyDescent="0.35">
      <c r="B53" s="28"/>
      <c r="E53" s="6" t="s">
        <v>1230</v>
      </c>
      <c r="F53" s="37" t="s">
        <v>1217</v>
      </c>
    </row>
    <row r="54" spans="2:6" ht="15" customHeight="1" x14ac:dyDescent="0.35">
      <c r="B54" s="28"/>
      <c r="E54" s="6" t="s">
        <v>1231</v>
      </c>
      <c r="F54" s="37" t="s">
        <v>1217</v>
      </c>
    </row>
    <row r="55" spans="2:6" ht="15" customHeight="1" x14ac:dyDescent="0.35">
      <c r="B55" s="28"/>
      <c r="E55" s="6" t="s">
        <v>1232</v>
      </c>
      <c r="F55" s="37" t="s">
        <v>1217</v>
      </c>
    </row>
    <row r="56" spans="2:6" ht="15" customHeight="1" x14ac:dyDescent="0.35">
      <c r="B56" s="28"/>
      <c r="E56" s="6" t="s">
        <v>962</v>
      </c>
      <c r="F56" s="37" t="s">
        <v>1217</v>
      </c>
    </row>
    <row r="57" spans="2:6" ht="15" customHeight="1" x14ac:dyDescent="0.35">
      <c r="B57" s="28"/>
      <c r="E57" s="6" t="s">
        <v>1233</v>
      </c>
      <c r="F57" s="37" t="s">
        <v>1217</v>
      </c>
    </row>
    <row r="58" spans="2:6" ht="15" customHeight="1" x14ac:dyDescent="0.35">
      <c r="B58" s="28"/>
      <c r="E58" s="6" t="s">
        <v>1234</v>
      </c>
      <c r="F58" s="37" t="s">
        <v>1217</v>
      </c>
    </row>
    <row r="59" spans="2:6" ht="15" customHeight="1" x14ac:dyDescent="0.35">
      <c r="B59" s="28"/>
      <c r="E59" s="6" t="s">
        <v>1235</v>
      </c>
      <c r="F59" s="37" t="s">
        <v>1217</v>
      </c>
    </row>
    <row r="60" spans="2:6" ht="15" customHeight="1" x14ac:dyDescent="0.35">
      <c r="B60" s="28"/>
      <c r="E60" s="6" t="s">
        <v>963</v>
      </c>
      <c r="F60" s="37" t="s">
        <v>1217</v>
      </c>
    </row>
    <row r="61" spans="2:6" ht="15" customHeight="1" x14ac:dyDescent="0.35">
      <c r="B61" s="28"/>
      <c r="E61" s="6" t="s">
        <v>1236</v>
      </c>
      <c r="F61" s="37" t="s">
        <v>1217</v>
      </c>
    </row>
    <row r="62" spans="2:6" ht="15" customHeight="1" x14ac:dyDescent="0.35">
      <c r="B62" s="28"/>
      <c r="E62" s="6" t="s">
        <v>1237</v>
      </c>
      <c r="F62" s="37" t="s">
        <v>1217</v>
      </c>
    </row>
    <row r="63" spans="2:6" ht="15" customHeight="1" x14ac:dyDescent="0.35">
      <c r="B63" s="28"/>
      <c r="E63" s="6" t="s">
        <v>1238</v>
      </c>
      <c r="F63" s="37" t="s">
        <v>1217</v>
      </c>
    </row>
    <row r="64" spans="2:6" ht="15" customHeight="1" x14ac:dyDescent="0.35">
      <c r="B64" s="28"/>
      <c r="E64" s="6" t="s">
        <v>1239</v>
      </c>
      <c r="F64" s="37" t="s">
        <v>1217</v>
      </c>
    </row>
    <row r="65" spans="2:6" ht="15" customHeight="1" x14ac:dyDescent="0.35">
      <c r="B65" s="28"/>
      <c r="E65" s="6" t="s">
        <v>1240</v>
      </c>
      <c r="F65" s="37" t="s">
        <v>1217</v>
      </c>
    </row>
    <row r="66" spans="2:6" ht="15" customHeight="1" x14ac:dyDescent="0.35">
      <c r="B66" s="28"/>
      <c r="E66" s="6" t="s">
        <v>1241</v>
      </c>
      <c r="F66" s="37" t="s">
        <v>1217</v>
      </c>
    </row>
    <row r="67" spans="2:6" ht="15" customHeight="1" thickBot="1" x14ac:dyDescent="0.4">
      <c r="B67" s="29"/>
      <c r="C67" s="39"/>
      <c r="D67" s="39"/>
      <c r="E67" s="40" t="s">
        <v>1242</v>
      </c>
      <c r="F67" s="51" t="s">
        <v>1217</v>
      </c>
    </row>
    <row r="68" spans="2:6" ht="15" customHeight="1" x14ac:dyDescent="0.35">
      <c r="E68" s="5" t="s">
        <v>1590</v>
      </c>
      <c r="F68" s="4" t="s">
        <v>1217</v>
      </c>
    </row>
    <row r="69" spans="2:6" ht="15" customHeight="1" thickBot="1" x14ac:dyDescent="0.4"/>
    <row r="70" spans="2:6" ht="15" customHeight="1" thickBot="1" x14ac:dyDescent="0.4">
      <c r="B70" s="44" t="s">
        <v>38</v>
      </c>
      <c r="C70" s="45" t="s">
        <v>1835</v>
      </c>
      <c r="D70" s="45" t="s">
        <v>1836</v>
      </c>
      <c r="E70" s="46" t="s">
        <v>1243</v>
      </c>
      <c r="F70" s="74" t="s">
        <v>1205</v>
      </c>
    </row>
    <row r="71" spans="2:6" ht="15" customHeight="1" x14ac:dyDescent="0.35">
      <c r="E71" s="5" t="s">
        <v>1647</v>
      </c>
      <c r="F71" s="4" t="s">
        <v>1205</v>
      </c>
    </row>
    <row r="72" spans="2:6" ht="15" customHeight="1" thickBot="1" x14ac:dyDescent="0.4"/>
    <row r="73" spans="2:6" ht="15" customHeight="1" x14ac:dyDescent="0.35">
      <c r="B73" s="30" t="s">
        <v>1837</v>
      </c>
      <c r="C73" s="32" t="s">
        <v>1255</v>
      </c>
      <c r="D73" s="32" t="s">
        <v>1244</v>
      </c>
      <c r="E73" s="33" t="s">
        <v>1245</v>
      </c>
      <c r="F73" s="76" t="s">
        <v>1205</v>
      </c>
    </row>
    <row r="74" spans="2:6" ht="15" customHeight="1" x14ac:dyDescent="0.35">
      <c r="B74" s="28"/>
      <c r="E74" s="6" t="s">
        <v>1246</v>
      </c>
      <c r="F74" s="37" t="s">
        <v>1205</v>
      </c>
    </row>
    <row r="75" spans="2:6" ht="15" customHeight="1" x14ac:dyDescent="0.35">
      <c r="B75" s="28"/>
      <c r="E75" s="6" t="s">
        <v>985</v>
      </c>
      <c r="F75" s="37" t="s">
        <v>1205</v>
      </c>
    </row>
    <row r="76" spans="2:6" ht="15" customHeight="1" x14ac:dyDescent="0.35">
      <c r="B76" s="28"/>
      <c r="E76" s="6" t="s">
        <v>1247</v>
      </c>
      <c r="F76" s="37" t="s">
        <v>1205</v>
      </c>
    </row>
    <row r="77" spans="2:6" ht="15" customHeight="1" x14ac:dyDescent="0.35">
      <c r="B77" s="28"/>
      <c r="E77" s="6" t="s">
        <v>988</v>
      </c>
      <c r="F77" s="37" t="s">
        <v>1205</v>
      </c>
    </row>
    <row r="78" spans="2:6" ht="15" customHeight="1" x14ac:dyDescent="0.35">
      <c r="B78" s="28"/>
      <c r="E78" s="6" t="s">
        <v>1248</v>
      </c>
      <c r="F78" s="37" t="s">
        <v>1205</v>
      </c>
    </row>
    <row r="79" spans="2:6" ht="15" customHeight="1" x14ac:dyDescent="0.35">
      <c r="B79" s="28"/>
      <c r="E79" s="6" t="s">
        <v>1249</v>
      </c>
      <c r="F79" s="37" t="s">
        <v>1205</v>
      </c>
    </row>
    <row r="80" spans="2:6" ht="15" customHeight="1" x14ac:dyDescent="0.35">
      <c r="B80" s="28"/>
      <c r="E80" s="6" t="s">
        <v>990</v>
      </c>
      <c r="F80" s="37" t="s">
        <v>1205</v>
      </c>
    </row>
    <row r="81" spans="2:6" ht="15" customHeight="1" x14ac:dyDescent="0.35">
      <c r="B81" s="28"/>
      <c r="E81" s="6" t="s">
        <v>1250</v>
      </c>
      <c r="F81" s="37" t="s">
        <v>1205</v>
      </c>
    </row>
    <row r="82" spans="2:6" ht="15" customHeight="1" thickBot="1" x14ac:dyDescent="0.4">
      <c r="B82" s="29"/>
      <c r="C82" s="39"/>
      <c r="D82" s="39"/>
      <c r="E82" s="40" t="s">
        <v>991</v>
      </c>
      <c r="F82" s="51" t="s">
        <v>1205</v>
      </c>
    </row>
    <row r="83" spans="2:6" ht="15" customHeight="1" x14ac:dyDescent="0.35">
      <c r="E83" s="5" t="s">
        <v>1592</v>
      </c>
      <c r="F83" s="4" t="s">
        <v>1205</v>
      </c>
    </row>
    <row r="84" spans="2:6" ht="15" customHeight="1" thickBot="1" x14ac:dyDescent="0.4"/>
    <row r="85" spans="2:6" ht="15" customHeight="1" x14ac:dyDescent="0.35">
      <c r="B85" s="30" t="s">
        <v>1837</v>
      </c>
      <c r="C85" s="32" t="s">
        <v>1255</v>
      </c>
      <c r="D85" s="32" t="s">
        <v>1244</v>
      </c>
      <c r="E85" s="33" t="s">
        <v>1251</v>
      </c>
      <c r="F85" s="76" t="s">
        <v>1205</v>
      </c>
    </row>
    <row r="86" spans="2:6" ht="15" customHeight="1" thickBot="1" x14ac:dyDescent="0.4">
      <c r="B86" s="29"/>
      <c r="C86" s="39"/>
      <c r="D86" s="39"/>
      <c r="E86" s="40" t="s">
        <v>994</v>
      </c>
      <c r="F86" s="51" t="s">
        <v>1205</v>
      </c>
    </row>
    <row r="87" spans="2:6" ht="15" customHeight="1" x14ac:dyDescent="0.35">
      <c r="E87" s="5" t="s">
        <v>1648</v>
      </c>
      <c r="F87" s="4" t="s">
        <v>1205</v>
      </c>
    </row>
    <row r="88" spans="2:6" ht="15" customHeight="1" thickBot="1" x14ac:dyDescent="0.4"/>
    <row r="89" spans="2:6" ht="15" customHeight="1" x14ac:dyDescent="0.35">
      <c r="B89" s="30" t="s">
        <v>1837</v>
      </c>
      <c r="C89" s="32" t="s">
        <v>42</v>
      </c>
      <c r="D89" s="32" t="s">
        <v>1244</v>
      </c>
      <c r="E89" s="33" t="s">
        <v>998</v>
      </c>
      <c r="F89" s="76" t="s">
        <v>1205</v>
      </c>
    </row>
    <row r="90" spans="2:6" ht="15" customHeight="1" x14ac:dyDescent="0.35">
      <c r="B90" s="28"/>
      <c r="E90" s="122" t="s">
        <v>1252</v>
      </c>
      <c r="F90" s="37" t="s">
        <v>1253</v>
      </c>
    </row>
    <row r="91" spans="2:6" ht="15" customHeight="1" thickBot="1" x14ac:dyDescent="0.4">
      <c r="B91" s="29"/>
      <c r="C91" s="39"/>
      <c r="D91" s="39"/>
      <c r="E91" s="118" t="s">
        <v>1254</v>
      </c>
      <c r="F91" s="51" t="s">
        <v>1205</v>
      </c>
    </row>
    <row r="92" spans="2:6" ht="15" customHeight="1" x14ac:dyDescent="0.35">
      <c r="E92" s="5" t="s">
        <v>1838</v>
      </c>
      <c r="F92" s="4" t="s">
        <v>1205</v>
      </c>
    </row>
    <row r="93" spans="2:6" ht="15" customHeight="1" thickBot="1" x14ac:dyDescent="0.4">
      <c r="E93" s="5"/>
      <c r="F93" s="4"/>
    </row>
    <row r="94" spans="2:6" ht="15" customHeight="1" x14ac:dyDescent="0.35">
      <c r="B94" s="30" t="s">
        <v>1837</v>
      </c>
      <c r="C94" s="32" t="s">
        <v>1255</v>
      </c>
      <c r="D94" s="32" t="s">
        <v>1001</v>
      </c>
      <c r="E94" s="33" t="s">
        <v>1256</v>
      </c>
      <c r="F94" s="76" t="s">
        <v>1205</v>
      </c>
    </row>
    <row r="95" spans="2:6" ht="15" customHeight="1" x14ac:dyDescent="0.35">
      <c r="B95" s="28"/>
      <c r="E95" s="6" t="s">
        <v>1003</v>
      </c>
      <c r="F95" s="37" t="s">
        <v>1205</v>
      </c>
    </row>
    <row r="96" spans="2:6" ht="15" customHeight="1" x14ac:dyDescent="0.35">
      <c r="B96" s="28"/>
      <c r="E96" s="6" t="s">
        <v>1257</v>
      </c>
      <c r="F96" s="37" t="s">
        <v>1205</v>
      </c>
    </row>
    <row r="97" spans="2:6" ht="15" customHeight="1" x14ac:dyDescent="0.35">
      <c r="B97" s="28"/>
      <c r="E97" s="6" t="s">
        <v>1004</v>
      </c>
      <c r="F97" s="37" t="s">
        <v>1205</v>
      </c>
    </row>
    <row r="98" spans="2:6" ht="15" customHeight="1" x14ac:dyDescent="0.35">
      <c r="B98" s="28"/>
      <c r="E98" s="122" t="s">
        <v>1005</v>
      </c>
      <c r="F98" s="37" t="s">
        <v>1205</v>
      </c>
    </row>
    <row r="99" spans="2:6" ht="15" customHeight="1" x14ac:dyDescent="0.35">
      <c r="B99" s="28"/>
      <c r="E99" s="6" t="s">
        <v>1258</v>
      </c>
      <c r="F99" s="37" t="s">
        <v>1205</v>
      </c>
    </row>
    <row r="100" spans="2:6" ht="15" customHeight="1" x14ac:dyDescent="0.35">
      <c r="B100" s="28"/>
      <c r="E100" s="6" t="s">
        <v>1006</v>
      </c>
      <c r="F100" s="37" t="s">
        <v>1205</v>
      </c>
    </row>
    <row r="101" spans="2:6" ht="15" customHeight="1" thickBot="1" x14ac:dyDescent="0.4">
      <c r="B101" s="29"/>
      <c r="C101" s="39"/>
      <c r="D101" s="39"/>
      <c r="E101" s="40" t="s">
        <v>1259</v>
      </c>
      <c r="F101" s="51" t="s">
        <v>1205</v>
      </c>
    </row>
    <row r="102" spans="2:6" ht="15" customHeight="1" x14ac:dyDescent="0.35">
      <c r="E102" s="5" t="s">
        <v>1593</v>
      </c>
      <c r="F102" s="4" t="s">
        <v>1205</v>
      </c>
    </row>
    <row r="103" spans="2:6" ht="15" customHeight="1" thickBot="1" x14ac:dyDescent="0.4">
      <c r="E103" s="5"/>
      <c r="F103" s="4"/>
    </row>
    <row r="104" spans="2:6" ht="15" customHeight="1" x14ac:dyDescent="0.35">
      <c r="B104" s="30" t="s">
        <v>1837</v>
      </c>
      <c r="C104" s="32" t="s">
        <v>42</v>
      </c>
      <c r="D104" s="32" t="s">
        <v>1007</v>
      </c>
      <c r="E104" s="33" t="s">
        <v>1260</v>
      </c>
      <c r="F104" s="76" t="s">
        <v>1205</v>
      </c>
    </row>
    <row r="105" spans="2:6" ht="15" customHeight="1" thickBot="1" x14ac:dyDescent="0.4">
      <c r="B105" s="29"/>
      <c r="C105" s="39"/>
      <c r="D105" s="39"/>
      <c r="E105" s="40" t="s">
        <v>1261</v>
      </c>
      <c r="F105" s="51" t="s">
        <v>1205</v>
      </c>
    </row>
    <row r="106" spans="2:6" ht="15" customHeight="1" x14ac:dyDescent="0.35">
      <c r="E106" s="5" t="s">
        <v>1594</v>
      </c>
      <c r="F106" s="4" t="s">
        <v>1205</v>
      </c>
    </row>
    <row r="107" spans="2:6" ht="15" customHeight="1" thickBot="1" x14ac:dyDescent="0.4">
      <c r="E107" s="5"/>
      <c r="F107" s="4"/>
    </row>
    <row r="108" spans="2:6" ht="15" customHeight="1" thickBot="1" x14ac:dyDescent="0.4">
      <c r="B108" s="44" t="s">
        <v>1837</v>
      </c>
      <c r="C108" s="45" t="s">
        <v>42</v>
      </c>
      <c r="D108" s="45" t="s">
        <v>1007</v>
      </c>
      <c r="E108" s="46" t="s">
        <v>1262</v>
      </c>
      <c r="F108" s="74" t="s">
        <v>1205</v>
      </c>
    </row>
    <row r="109" spans="2:6" ht="15" customHeight="1" x14ac:dyDescent="0.35">
      <c r="E109" s="5" t="s">
        <v>1650</v>
      </c>
      <c r="F109" s="4" t="s">
        <v>1205</v>
      </c>
    </row>
    <row r="110" spans="2:6" ht="15" customHeight="1" thickBot="1" x14ac:dyDescent="0.4"/>
    <row r="111" spans="2:6" ht="15" customHeight="1" x14ac:dyDescent="0.35">
      <c r="B111" s="30" t="s">
        <v>1837</v>
      </c>
      <c r="C111" s="32" t="s">
        <v>1263</v>
      </c>
      <c r="D111" s="32" t="s">
        <v>1264</v>
      </c>
      <c r="E111" s="33" t="s">
        <v>1265</v>
      </c>
      <c r="F111" s="76" t="s">
        <v>1205</v>
      </c>
    </row>
    <row r="112" spans="2:6" ht="15" customHeight="1" x14ac:dyDescent="0.35">
      <c r="B112" s="28"/>
      <c r="E112" s="6" t="s">
        <v>1266</v>
      </c>
      <c r="F112" s="37" t="s">
        <v>1205</v>
      </c>
    </row>
    <row r="113" spans="2:6" ht="15" customHeight="1" x14ac:dyDescent="0.35">
      <c r="B113" s="28"/>
      <c r="E113" s="6" t="s">
        <v>1267</v>
      </c>
      <c r="F113" s="37" t="s">
        <v>1205</v>
      </c>
    </row>
    <row r="114" spans="2:6" ht="15" customHeight="1" x14ac:dyDescent="0.35">
      <c r="B114" s="28"/>
      <c r="E114" s="6" t="s">
        <v>1268</v>
      </c>
      <c r="F114" s="37" t="s">
        <v>1205</v>
      </c>
    </row>
    <row r="115" spans="2:6" ht="15" customHeight="1" x14ac:dyDescent="0.35">
      <c r="B115" s="28"/>
      <c r="E115" s="6" t="s">
        <v>1269</v>
      </c>
      <c r="F115" s="37" t="s">
        <v>1205</v>
      </c>
    </row>
    <row r="116" spans="2:6" ht="15" customHeight="1" x14ac:dyDescent="0.35">
      <c r="B116" s="28"/>
      <c r="E116" s="6" t="s">
        <v>1024</v>
      </c>
      <c r="F116" s="37" t="s">
        <v>1205</v>
      </c>
    </row>
    <row r="117" spans="2:6" ht="15" customHeight="1" x14ac:dyDescent="0.35">
      <c r="B117" s="28"/>
      <c r="E117" s="6" t="s">
        <v>1270</v>
      </c>
      <c r="F117" s="37" t="s">
        <v>1205</v>
      </c>
    </row>
    <row r="118" spans="2:6" ht="15" customHeight="1" x14ac:dyDescent="0.35">
      <c r="B118" s="28"/>
      <c r="E118" s="6" t="s">
        <v>1271</v>
      </c>
      <c r="F118" s="37" t="s">
        <v>1205</v>
      </c>
    </row>
    <row r="119" spans="2:6" ht="15" customHeight="1" x14ac:dyDescent="0.35">
      <c r="B119" s="28"/>
      <c r="E119" s="6" t="s">
        <v>1272</v>
      </c>
      <c r="F119" s="37" t="s">
        <v>1205</v>
      </c>
    </row>
    <row r="120" spans="2:6" ht="15" customHeight="1" x14ac:dyDescent="0.35">
      <c r="B120" s="28"/>
      <c r="E120" s="6" t="s">
        <v>1273</v>
      </c>
      <c r="F120" s="37" t="s">
        <v>1205</v>
      </c>
    </row>
    <row r="121" spans="2:6" ht="15" customHeight="1" thickBot="1" x14ac:dyDescent="0.4">
      <c r="B121" s="29"/>
      <c r="C121" s="39"/>
      <c r="D121" s="39"/>
      <c r="E121" s="40" t="s">
        <v>1274</v>
      </c>
      <c r="F121" s="51" t="s">
        <v>1205</v>
      </c>
    </row>
    <row r="122" spans="2:6" ht="15" customHeight="1" x14ac:dyDescent="0.35">
      <c r="E122" s="5" t="s">
        <v>1839</v>
      </c>
      <c r="F122" s="4" t="s">
        <v>1205</v>
      </c>
    </row>
    <row r="123" spans="2:6" ht="15" customHeight="1" thickBot="1" x14ac:dyDescent="0.4">
      <c r="E123" s="5"/>
      <c r="F123" s="4"/>
    </row>
    <row r="124" spans="2:6" ht="15" customHeight="1" x14ac:dyDescent="0.35">
      <c r="B124" s="30" t="s">
        <v>1837</v>
      </c>
      <c r="C124" s="32" t="s">
        <v>42</v>
      </c>
      <c r="D124" s="32" t="s">
        <v>1022</v>
      </c>
      <c r="E124" s="33" t="s">
        <v>1265</v>
      </c>
      <c r="F124" s="76" t="s">
        <v>1205</v>
      </c>
    </row>
    <row r="125" spans="2:6" ht="15" customHeight="1" x14ac:dyDescent="0.35">
      <c r="B125" s="28"/>
      <c r="E125" s="6" t="s">
        <v>1266</v>
      </c>
      <c r="F125" s="37" t="s">
        <v>1205</v>
      </c>
    </row>
    <row r="126" spans="2:6" ht="15" customHeight="1" x14ac:dyDescent="0.35">
      <c r="B126" s="28"/>
      <c r="E126" s="6" t="s">
        <v>1267</v>
      </c>
      <c r="F126" s="37" t="s">
        <v>1205</v>
      </c>
    </row>
    <row r="127" spans="2:6" ht="15" customHeight="1" x14ac:dyDescent="0.35">
      <c r="B127" s="28"/>
      <c r="E127" s="6" t="s">
        <v>1268</v>
      </c>
      <c r="F127" s="37" t="s">
        <v>1205</v>
      </c>
    </row>
    <row r="128" spans="2:6" ht="15" customHeight="1" x14ac:dyDescent="0.35">
      <c r="B128" s="28"/>
      <c r="E128" s="6" t="s">
        <v>1269</v>
      </c>
      <c r="F128" s="37" t="s">
        <v>1205</v>
      </c>
    </row>
    <row r="129" spans="2:6" ht="15" customHeight="1" x14ac:dyDescent="0.35">
      <c r="B129" s="28"/>
      <c r="E129" s="6" t="s">
        <v>1024</v>
      </c>
      <c r="F129" s="37" t="s">
        <v>1205</v>
      </c>
    </row>
    <row r="130" spans="2:6" ht="15" customHeight="1" x14ac:dyDescent="0.35">
      <c r="B130" s="28"/>
      <c r="E130" s="6" t="s">
        <v>1270</v>
      </c>
      <c r="F130" s="37" t="s">
        <v>1205</v>
      </c>
    </row>
    <row r="131" spans="2:6" ht="15" customHeight="1" x14ac:dyDescent="0.35">
      <c r="B131" s="28"/>
      <c r="E131" s="6" t="s">
        <v>1271</v>
      </c>
      <c r="F131" s="37" t="s">
        <v>1205</v>
      </c>
    </row>
    <row r="132" spans="2:6" ht="15" customHeight="1" x14ac:dyDescent="0.35">
      <c r="B132" s="28"/>
      <c r="E132" s="6" t="s">
        <v>1272</v>
      </c>
      <c r="F132" s="37" t="s">
        <v>1205</v>
      </c>
    </row>
    <row r="133" spans="2:6" ht="15" customHeight="1" x14ac:dyDescent="0.35">
      <c r="B133" s="28"/>
      <c r="E133" s="6" t="s">
        <v>1273</v>
      </c>
      <c r="F133" s="37" t="s">
        <v>1205</v>
      </c>
    </row>
    <row r="134" spans="2:6" ht="15" customHeight="1" x14ac:dyDescent="0.35">
      <c r="B134" s="28"/>
      <c r="E134" s="6" t="s">
        <v>1274</v>
      </c>
      <c r="F134" s="37" t="s">
        <v>1205</v>
      </c>
    </row>
    <row r="135" spans="2:6" ht="15" customHeight="1" x14ac:dyDescent="0.35">
      <c r="B135" s="28"/>
      <c r="E135" s="6" t="s">
        <v>1275</v>
      </c>
      <c r="F135" s="37" t="s">
        <v>1205</v>
      </c>
    </row>
    <row r="136" spans="2:6" ht="15" customHeight="1" x14ac:dyDescent="0.35">
      <c r="B136" s="28"/>
      <c r="E136" s="6" t="s">
        <v>1276</v>
      </c>
      <c r="F136" s="37" t="s">
        <v>1205</v>
      </c>
    </row>
    <row r="137" spans="2:6" ht="15" customHeight="1" x14ac:dyDescent="0.35">
      <c r="B137" s="28"/>
      <c r="E137" s="6" t="s">
        <v>1277</v>
      </c>
      <c r="F137" s="37" t="s">
        <v>1205</v>
      </c>
    </row>
    <row r="138" spans="2:6" ht="15" customHeight="1" x14ac:dyDescent="0.35">
      <c r="B138" s="28"/>
      <c r="E138" s="6" t="s">
        <v>1278</v>
      </c>
      <c r="F138" s="37" t="s">
        <v>1205</v>
      </c>
    </row>
    <row r="139" spans="2:6" ht="15" customHeight="1" thickBot="1" x14ac:dyDescent="0.4">
      <c r="B139" s="29"/>
      <c r="C139" s="39"/>
      <c r="D139" s="39"/>
      <c r="E139" s="40" t="s">
        <v>1279</v>
      </c>
      <c r="F139" s="51" t="s">
        <v>1205</v>
      </c>
    </row>
    <row r="140" spans="2:6" s="4" customFormat="1" ht="15" customHeight="1" x14ac:dyDescent="0.35">
      <c r="D140" s="4" t="s">
        <v>1598</v>
      </c>
      <c r="E140" s="6" t="s">
        <v>1756</v>
      </c>
      <c r="F140" s="4" t="s">
        <v>1205</v>
      </c>
    </row>
    <row r="141" spans="2:6" s="4" customFormat="1" ht="15" customHeight="1" x14ac:dyDescent="0.35">
      <c r="E141" s="5" t="s">
        <v>1280</v>
      </c>
    </row>
    <row r="142" spans="2:6" ht="15" customHeight="1" thickBot="1" x14ac:dyDescent="0.4"/>
    <row r="143" spans="2:6" ht="15" customHeight="1" x14ac:dyDescent="0.35">
      <c r="B143" s="30" t="s">
        <v>1837</v>
      </c>
      <c r="C143" s="32" t="s">
        <v>42</v>
      </c>
      <c r="D143" s="32" t="s">
        <v>1030</v>
      </c>
      <c r="E143" s="33" t="s">
        <v>1032</v>
      </c>
      <c r="F143" s="76" t="s">
        <v>1205</v>
      </c>
    </row>
    <row r="144" spans="2:6" ht="15" customHeight="1" x14ac:dyDescent="0.35">
      <c r="B144" s="28"/>
      <c r="E144" s="6" t="s">
        <v>1281</v>
      </c>
      <c r="F144" s="37" t="s">
        <v>1205</v>
      </c>
    </row>
    <row r="145" spans="2:6" ht="15" customHeight="1" x14ac:dyDescent="0.35">
      <c r="B145" s="28"/>
      <c r="E145" s="6" t="s">
        <v>1282</v>
      </c>
      <c r="F145" s="37" t="s">
        <v>1205</v>
      </c>
    </row>
    <row r="146" spans="2:6" ht="15" customHeight="1" x14ac:dyDescent="0.35">
      <c r="B146" s="28"/>
      <c r="E146" s="6" t="s">
        <v>1283</v>
      </c>
      <c r="F146" s="37" t="s">
        <v>1205</v>
      </c>
    </row>
    <row r="147" spans="2:6" ht="15" customHeight="1" x14ac:dyDescent="0.35">
      <c r="B147" s="28"/>
      <c r="E147" s="6" t="s">
        <v>1033</v>
      </c>
      <c r="F147" s="37" t="s">
        <v>1205</v>
      </c>
    </row>
    <row r="148" spans="2:6" ht="15" customHeight="1" x14ac:dyDescent="0.35">
      <c r="B148" s="28"/>
      <c r="E148" s="6" t="s">
        <v>1284</v>
      </c>
      <c r="F148" s="37" t="s">
        <v>1205</v>
      </c>
    </row>
    <row r="149" spans="2:6" ht="15" customHeight="1" thickBot="1" x14ac:dyDescent="0.4">
      <c r="B149" s="29"/>
      <c r="C149" s="39"/>
      <c r="D149" s="39"/>
      <c r="E149" s="40" t="s">
        <v>1285</v>
      </c>
      <c r="F149" s="51" t="s">
        <v>1205</v>
      </c>
    </row>
    <row r="150" spans="2:6" ht="15" customHeight="1" x14ac:dyDescent="0.35">
      <c r="E150" s="5" t="s">
        <v>1599</v>
      </c>
      <c r="F150" s="4" t="s">
        <v>1205</v>
      </c>
    </row>
    <row r="151" spans="2:6" ht="15" customHeight="1" thickBot="1" x14ac:dyDescent="0.4"/>
    <row r="152" spans="2:6" ht="15" customHeight="1" x14ac:dyDescent="0.35">
      <c r="B152" s="30" t="s">
        <v>1837</v>
      </c>
      <c r="C152" s="32" t="s">
        <v>1841</v>
      </c>
      <c r="D152" s="32" t="s">
        <v>1036</v>
      </c>
      <c r="E152" s="33" t="s">
        <v>1286</v>
      </c>
      <c r="F152" s="76" t="s">
        <v>1217</v>
      </c>
    </row>
    <row r="153" spans="2:6" ht="15" customHeight="1" x14ac:dyDescent="0.35">
      <c r="B153" s="28"/>
      <c r="E153" s="6" t="s">
        <v>1287</v>
      </c>
      <c r="F153" s="37" t="s">
        <v>1217</v>
      </c>
    </row>
    <row r="154" spans="2:6" ht="15" customHeight="1" x14ac:dyDescent="0.35">
      <c r="B154" s="28"/>
      <c r="E154" s="6" t="s">
        <v>1288</v>
      </c>
      <c r="F154" s="37" t="s">
        <v>1217</v>
      </c>
    </row>
    <row r="155" spans="2:6" ht="15" customHeight="1" x14ac:dyDescent="0.35">
      <c r="B155" s="28"/>
      <c r="E155" s="6" t="s">
        <v>1038</v>
      </c>
      <c r="F155" s="37" t="s">
        <v>1217</v>
      </c>
    </row>
    <row r="156" spans="2:6" ht="15" customHeight="1" x14ac:dyDescent="0.35">
      <c r="B156" s="28"/>
      <c r="E156" s="6" t="s">
        <v>1289</v>
      </c>
      <c r="F156" s="37" t="s">
        <v>1217</v>
      </c>
    </row>
    <row r="157" spans="2:6" ht="15" customHeight="1" x14ac:dyDescent="0.35">
      <c r="B157" s="28"/>
      <c r="E157" s="6" t="s">
        <v>1290</v>
      </c>
      <c r="F157" s="37" t="s">
        <v>1217</v>
      </c>
    </row>
    <row r="158" spans="2:6" ht="15" customHeight="1" x14ac:dyDescent="0.35">
      <c r="B158" s="28"/>
      <c r="E158" s="6" t="s">
        <v>1291</v>
      </c>
      <c r="F158" s="37" t="s">
        <v>1217</v>
      </c>
    </row>
    <row r="159" spans="2:6" ht="15" customHeight="1" x14ac:dyDescent="0.35">
      <c r="B159" s="28"/>
      <c r="E159" s="6" t="s">
        <v>1292</v>
      </c>
      <c r="F159" s="37" t="s">
        <v>1217</v>
      </c>
    </row>
    <row r="160" spans="2:6" ht="15" customHeight="1" thickBot="1" x14ac:dyDescent="0.4">
      <c r="B160" s="29"/>
      <c r="C160" s="39"/>
      <c r="D160" s="39"/>
      <c r="E160" s="40" t="s">
        <v>1293</v>
      </c>
      <c r="F160" s="51" t="s">
        <v>1217</v>
      </c>
    </row>
    <row r="161" spans="2:6" ht="15" customHeight="1" x14ac:dyDescent="0.35">
      <c r="E161" s="5" t="s">
        <v>1840</v>
      </c>
      <c r="F161" s="4" t="s">
        <v>1217</v>
      </c>
    </row>
    <row r="162" spans="2:6" ht="15" customHeight="1" thickBot="1" x14ac:dyDescent="0.4">
      <c r="E162" s="5"/>
      <c r="F162" s="4"/>
    </row>
    <row r="163" spans="2:6" ht="15" customHeight="1" x14ac:dyDescent="0.35">
      <c r="B163" s="30" t="s">
        <v>45</v>
      </c>
      <c r="C163" s="32" t="s">
        <v>44</v>
      </c>
      <c r="D163" s="32" t="s">
        <v>1046</v>
      </c>
      <c r="E163" s="33" t="s">
        <v>1294</v>
      </c>
      <c r="F163" s="76" t="s">
        <v>1217</v>
      </c>
    </row>
    <row r="164" spans="2:6" ht="15" customHeight="1" x14ac:dyDescent="0.35">
      <c r="B164" s="28"/>
      <c r="E164" s="6" t="s">
        <v>1295</v>
      </c>
      <c r="F164" s="37" t="s">
        <v>1217</v>
      </c>
    </row>
    <row r="165" spans="2:6" ht="15" customHeight="1" x14ac:dyDescent="0.35">
      <c r="B165" s="28"/>
      <c r="E165" s="6" t="s">
        <v>1296</v>
      </c>
      <c r="F165" s="37" t="s">
        <v>1217</v>
      </c>
    </row>
    <row r="166" spans="2:6" ht="15" customHeight="1" thickBot="1" x14ac:dyDescent="0.4">
      <c r="B166" s="29"/>
      <c r="C166" s="39"/>
      <c r="D166" s="39"/>
      <c r="E166" s="40" t="s">
        <v>1297</v>
      </c>
      <c r="F166" s="51" t="s">
        <v>1217</v>
      </c>
    </row>
    <row r="167" spans="2:6" ht="15" customHeight="1" x14ac:dyDescent="0.35">
      <c r="E167" s="5" t="s">
        <v>1603</v>
      </c>
      <c r="F167" s="4" t="s">
        <v>1217</v>
      </c>
    </row>
    <row r="168" spans="2:6" ht="15" customHeight="1" thickBot="1" x14ac:dyDescent="0.4"/>
    <row r="169" spans="2:6" ht="15" customHeight="1" x14ac:dyDescent="0.35">
      <c r="B169" s="30" t="s">
        <v>45</v>
      </c>
      <c r="C169" s="32" t="s">
        <v>44</v>
      </c>
      <c r="D169" s="32" t="s">
        <v>1046</v>
      </c>
      <c r="E169" s="33" t="s">
        <v>1298</v>
      </c>
      <c r="F169" s="76" t="s">
        <v>1217</v>
      </c>
    </row>
    <row r="170" spans="2:6" ht="15" customHeight="1" x14ac:dyDescent="0.35">
      <c r="B170" s="28"/>
      <c r="E170" s="6" t="s">
        <v>1299</v>
      </c>
      <c r="F170" s="37" t="s">
        <v>1217</v>
      </c>
    </row>
    <row r="171" spans="2:6" ht="15" customHeight="1" thickBot="1" x14ac:dyDescent="0.4">
      <c r="B171" s="29"/>
      <c r="C171" s="39"/>
      <c r="D171" s="39"/>
      <c r="E171" s="40" t="s">
        <v>1300</v>
      </c>
      <c r="F171" s="51" t="s">
        <v>1217</v>
      </c>
    </row>
    <row r="172" spans="2:6" ht="15" customHeight="1" x14ac:dyDescent="0.35">
      <c r="E172" s="5" t="s">
        <v>1655</v>
      </c>
      <c r="F172" s="4" t="s">
        <v>1217</v>
      </c>
    </row>
    <row r="173" spans="2:6" ht="15" customHeight="1" thickBot="1" x14ac:dyDescent="0.4"/>
    <row r="174" spans="2:6" ht="15" customHeight="1" x14ac:dyDescent="0.35">
      <c r="B174" s="30" t="s">
        <v>45</v>
      </c>
      <c r="C174" s="32" t="s">
        <v>1657</v>
      </c>
      <c r="D174" s="32" t="s">
        <v>1068</v>
      </c>
      <c r="E174" s="33" t="s">
        <v>1301</v>
      </c>
      <c r="F174" s="76" t="s">
        <v>1205</v>
      </c>
    </row>
    <row r="175" spans="2:6" ht="15" customHeight="1" x14ac:dyDescent="0.35">
      <c r="B175" s="28"/>
      <c r="E175" s="6" t="s">
        <v>1302</v>
      </c>
      <c r="F175" s="37" t="s">
        <v>1205</v>
      </c>
    </row>
    <row r="176" spans="2:6" ht="15" customHeight="1" x14ac:dyDescent="0.35">
      <c r="B176" s="28"/>
      <c r="E176" s="6" t="s">
        <v>1303</v>
      </c>
      <c r="F176" s="37" t="s">
        <v>1205</v>
      </c>
    </row>
    <row r="177" spans="2:6" ht="15" customHeight="1" x14ac:dyDescent="0.35">
      <c r="B177" s="28"/>
      <c r="E177" s="6" t="s">
        <v>1304</v>
      </c>
      <c r="F177" s="37" t="s">
        <v>1205</v>
      </c>
    </row>
    <row r="178" spans="2:6" ht="15" customHeight="1" x14ac:dyDescent="0.35">
      <c r="B178" s="28"/>
      <c r="E178" s="6" t="s">
        <v>1305</v>
      </c>
      <c r="F178" s="37" t="s">
        <v>1205</v>
      </c>
    </row>
    <row r="179" spans="2:6" ht="15" customHeight="1" thickBot="1" x14ac:dyDescent="0.4">
      <c r="B179" s="29"/>
      <c r="C179" s="39"/>
      <c r="D179" s="39"/>
      <c r="E179" s="40" t="s">
        <v>1306</v>
      </c>
      <c r="F179" s="51" t="s">
        <v>1205</v>
      </c>
    </row>
    <row r="180" spans="2:6" ht="15" customHeight="1" x14ac:dyDescent="0.35">
      <c r="E180" s="5" t="s">
        <v>1605</v>
      </c>
      <c r="F180" s="4" t="s">
        <v>1205</v>
      </c>
    </row>
    <row r="181" spans="2:6" ht="15" customHeight="1" thickBot="1" x14ac:dyDescent="0.4"/>
    <row r="182" spans="2:6" ht="15" customHeight="1" x14ac:dyDescent="0.35">
      <c r="B182" s="30" t="s">
        <v>45</v>
      </c>
      <c r="C182" s="32" t="s">
        <v>1842</v>
      </c>
      <c r="D182" s="32" t="s">
        <v>1073</v>
      </c>
      <c r="E182" s="33" t="s">
        <v>1307</v>
      </c>
      <c r="F182" s="76" t="s">
        <v>1217</v>
      </c>
    </row>
    <row r="183" spans="2:6" ht="15" customHeight="1" x14ac:dyDescent="0.35">
      <c r="B183" s="28"/>
      <c r="E183" s="6" t="s">
        <v>1308</v>
      </c>
      <c r="F183" s="37" t="s">
        <v>1217</v>
      </c>
    </row>
    <row r="184" spans="2:6" ht="15" customHeight="1" x14ac:dyDescent="0.35">
      <c r="B184" s="28"/>
      <c r="E184" s="6" t="s">
        <v>1309</v>
      </c>
      <c r="F184" s="37" t="s">
        <v>1217</v>
      </c>
    </row>
    <row r="185" spans="2:6" ht="15" customHeight="1" x14ac:dyDescent="0.35">
      <c r="B185" s="28"/>
      <c r="E185" s="6" t="s">
        <v>1077</v>
      </c>
      <c r="F185" s="37" t="s">
        <v>1217</v>
      </c>
    </row>
    <row r="186" spans="2:6" ht="15" customHeight="1" x14ac:dyDescent="0.35">
      <c r="B186" s="28"/>
      <c r="E186" s="6" t="s">
        <v>1078</v>
      </c>
      <c r="F186" s="37" t="s">
        <v>1217</v>
      </c>
    </row>
    <row r="187" spans="2:6" ht="15" customHeight="1" x14ac:dyDescent="0.35">
      <c r="B187" s="28"/>
      <c r="E187" s="6" t="s">
        <v>1079</v>
      </c>
      <c r="F187" s="37" t="s">
        <v>1217</v>
      </c>
    </row>
    <row r="188" spans="2:6" ht="15" customHeight="1" x14ac:dyDescent="0.35">
      <c r="B188" s="28"/>
      <c r="E188" s="6" t="s">
        <v>1080</v>
      </c>
      <c r="F188" s="37" t="s">
        <v>1217</v>
      </c>
    </row>
    <row r="189" spans="2:6" ht="15" customHeight="1" x14ac:dyDescent="0.35">
      <c r="B189" s="28"/>
      <c r="E189" s="6" t="s">
        <v>1081</v>
      </c>
      <c r="F189" s="37" t="s">
        <v>1217</v>
      </c>
    </row>
    <row r="190" spans="2:6" ht="15" customHeight="1" x14ac:dyDescent="0.35">
      <c r="B190" s="28"/>
      <c r="E190" s="6" t="s">
        <v>1082</v>
      </c>
      <c r="F190" s="37" t="s">
        <v>1217</v>
      </c>
    </row>
    <row r="191" spans="2:6" ht="15" customHeight="1" x14ac:dyDescent="0.35">
      <c r="B191" s="28"/>
      <c r="E191" s="6" t="s">
        <v>1083</v>
      </c>
      <c r="F191" s="37" t="s">
        <v>1217</v>
      </c>
    </row>
    <row r="192" spans="2:6" ht="15" customHeight="1" x14ac:dyDescent="0.35">
      <c r="B192" s="28"/>
      <c r="E192" s="6" t="s">
        <v>1310</v>
      </c>
      <c r="F192" s="37" t="s">
        <v>1217</v>
      </c>
    </row>
    <row r="193" spans="2:6" ht="15" customHeight="1" x14ac:dyDescent="0.35">
      <c r="B193" s="28"/>
      <c r="E193" s="6" t="s">
        <v>1311</v>
      </c>
      <c r="F193" s="37" t="s">
        <v>1217</v>
      </c>
    </row>
    <row r="194" spans="2:6" ht="15" customHeight="1" thickBot="1" x14ac:dyDescent="0.4">
      <c r="B194" s="29"/>
      <c r="C194" s="39"/>
      <c r="D194" s="39"/>
      <c r="E194" s="40" t="s">
        <v>1312</v>
      </c>
      <c r="F194" s="51" t="s">
        <v>1217</v>
      </c>
    </row>
    <row r="195" spans="2:6" ht="15" customHeight="1" x14ac:dyDescent="0.35">
      <c r="E195" s="5" t="s">
        <v>1607</v>
      </c>
      <c r="F195" s="4" t="s">
        <v>1217</v>
      </c>
    </row>
    <row r="196" spans="2:6" ht="15" customHeight="1" thickBot="1" x14ac:dyDescent="0.4"/>
    <row r="197" spans="2:6" ht="15" customHeight="1" x14ac:dyDescent="0.35">
      <c r="B197" s="30" t="s">
        <v>45</v>
      </c>
      <c r="C197" s="32" t="s">
        <v>48</v>
      </c>
      <c r="D197" s="32" t="s">
        <v>1086</v>
      </c>
      <c r="E197" s="33" t="s">
        <v>1313</v>
      </c>
      <c r="F197" s="76" t="s">
        <v>1205</v>
      </c>
    </row>
    <row r="198" spans="2:6" ht="15" customHeight="1" x14ac:dyDescent="0.35">
      <c r="B198" s="28"/>
      <c r="E198" s="6" t="s">
        <v>1314</v>
      </c>
      <c r="F198" s="37" t="s">
        <v>1205</v>
      </c>
    </row>
    <row r="199" spans="2:6" ht="15" customHeight="1" x14ac:dyDescent="0.35">
      <c r="B199" s="28"/>
      <c r="E199" s="6" t="s">
        <v>1315</v>
      </c>
      <c r="F199" s="37" t="s">
        <v>1205</v>
      </c>
    </row>
    <row r="200" spans="2:6" ht="15" customHeight="1" x14ac:dyDescent="0.35">
      <c r="B200" s="28"/>
      <c r="E200" s="6" t="s">
        <v>1316</v>
      </c>
      <c r="F200" s="37" t="s">
        <v>1205</v>
      </c>
    </row>
    <row r="201" spans="2:6" ht="15" customHeight="1" x14ac:dyDescent="0.35">
      <c r="B201" s="28"/>
      <c r="E201" s="6" t="s">
        <v>1317</v>
      </c>
      <c r="F201" s="37" t="s">
        <v>1205</v>
      </c>
    </row>
    <row r="202" spans="2:6" ht="15" customHeight="1" x14ac:dyDescent="0.35">
      <c r="B202" s="28"/>
      <c r="E202" s="6" t="s">
        <v>1318</v>
      </c>
      <c r="F202" s="37" t="s">
        <v>1205</v>
      </c>
    </row>
    <row r="203" spans="2:6" ht="15" customHeight="1" x14ac:dyDescent="0.35">
      <c r="B203" s="28"/>
      <c r="E203" s="6" t="s">
        <v>1319</v>
      </c>
      <c r="F203" s="37" t="s">
        <v>1205</v>
      </c>
    </row>
    <row r="204" spans="2:6" ht="15" customHeight="1" x14ac:dyDescent="0.35">
      <c r="B204" s="28"/>
      <c r="E204" s="6" t="s">
        <v>1320</v>
      </c>
      <c r="F204" s="37" t="s">
        <v>1205</v>
      </c>
    </row>
    <row r="205" spans="2:6" ht="15" customHeight="1" x14ac:dyDescent="0.35">
      <c r="B205" s="28"/>
      <c r="E205" s="6" t="s">
        <v>1087</v>
      </c>
      <c r="F205" s="37" t="s">
        <v>1205</v>
      </c>
    </row>
    <row r="206" spans="2:6" ht="15" customHeight="1" x14ac:dyDescent="0.35">
      <c r="B206" s="28"/>
      <c r="E206" s="6" t="s">
        <v>1321</v>
      </c>
      <c r="F206" s="37" t="s">
        <v>1205</v>
      </c>
    </row>
    <row r="207" spans="2:6" ht="15" customHeight="1" x14ac:dyDescent="0.35">
      <c r="B207" s="28"/>
      <c r="E207" s="6" t="s">
        <v>1322</v>
      </c>
      <c r="F207" s="37" t="s">
        <v>1205</v>
      </c>
    </row>
    <row r="208" spans="2:6" ht="15" customHeight="1" x14ac:dyDescent="0.35">
      <c r="B208" s="28"/>
      <c r="E208" s="6" t="s">
        <v>1323</v>
      </c>
      <c r="F208" s="37" t="s">
        <v>1205</v>
      </c>
    </row>
    <row r="209" spans="2:6" ht="15" customHeight="1" x14ac:dyDescent="0.35">
      <c r="B209" s="28"/>
      <c r="E209" s="6" t="s">
        <v>1324</v>
      </c>
      <c r="F209" s="37" t="s">
        <v>1205</v>
      </c>
    </row>
    <row r="210" spans="2:6" ht="15" customHeight="1" x14ac:dyDescent="0.35">
      <c r="B210" s="28"/>
      <c r="E210" s="6" t="s">
        <v>1325</v>
      </c>
      <c r="F210" s="37" t="s">
        <v>1205</v>
      </c>
    </row>
    <row r="211" spans="2:6" ht="15" customHeight="1" x14ac:dyDescent="0.35">
      <c r="B211" s="28"/>
      <c r="E211" s="6" t="s">
        <v>1326</v>
      </c>
      <c r="F211" s="37" t="s">
        <v>1205</v>
      </c>
    </row>
    <row r="212" spans="2:6" ht="15" customHeight="1" x14ac:dyDescent="0.35">
      <c r="B212" s="28"/>
      <c r="E212" s="6" t="s">
        <v>1327</v>
      </c>
      <c r="F212" s="37" t="s">
        <v>1205</v>
      </c>
    </row>
    <row r="213" spans="2:6" ht="15" customHeight="1" x14ac:dyDescent="0.35">
      <c r="B213" s="28"/>
      <c r="E213" s="6" t="s">
        <v>1328</v>
      </c>
      <c r="F213" s="37" t="s">
        <v>1205</v>
      </c>
    </row>
    <row r="214" spans="2:6" ht="15" customHeight="1" x14ac:dyDescent="0.35">
      <c r="B214" s="28"/>
      <c r="E214" s="6" t="s">
        <v>1329</v>
      </c>
      <c r="F214" s="37" t="s">
        <v>1205</v>
      </c>
    </row>
    <row r="215" spans="2:6" ht="15" customHeight="1" x14ac:dyDescent="0.35">
      <c r="B215" s="28"/>
      <c r="E215" s="6" t="s">
        <v>1330</v>
      </c>
      <c r="F215" s="37" t="s">
        <v>1205</v>
      </c>
    </row>
    <row r="216" spans="2:6" ht="15" customHeight="1" x14ac:dyDescent="0.35">
      <c r="B216" s="28"/>
      <c r="E216" s="6" t="s">
        <v>1331</v>
      </c>
      <c r="F216" s="37" t="s">
        <v>1205</v>
      </c>
    </row>
    <row r="217" spans="2:6" ht="15" customHeight="1" x14ac:dyDescent="0.35">
      <c r="B217" s="28"/>
      <c r="E217" s="6" t="s">
        <v>1332</v>
      </c>
      <c r="F217" s="37" t="s">
        <v>1205</v>
      </c>
    </row>
    <row r="218" spans="2:6" ht="15" customHeight="1" x14ac:dyDescent="0.35">
      <c r="B218" s="28"/>
      <c r="E218" s="6" t="s">
        <v>1333</v>
      </c>
      <c r="F218" s="37" t="s">
        <v>1205</v>
      </c>
    </row>
    <row r="219" spans="2:6" ht="15" customHeight="1" x14ac:dyDescent="0.35">
      <c r="B219" s="28"/>
      <c r="E219" s="6" t="s">
        <v>1334</v>
      </c>
      <c r="F219" s="37" t="s">
        <v>1205</v>
      </c>
    </row>
    <row r="220" spans="2:6" ht="15" customHeight="1" x14ac:dyDescent="0.35">
      <c r="B220" s="28"/>
      <c r="E220" s="6" t="s">
        <v>1335</v>
      </c>
      <c r="F220" s="37" t="s">
        <v>1205</v>
      </c>
    </row>
    <row r="221" spans="2:6" ht="15" customHeight="1" x14ac:dyDescent="0.35">
      <c r="B221" s="28"/>
      <c r="E221" s="6" t="s">
        <v>1336</v>
      </c>
      <c r="F221" s="37" t="s">
        <v>1205</v>
      </c>
    </row>
    <row r="222" spans="2:6" ht="15" customHeight="1" x14ac:dyDescent="0.35">
      <c r="B222" s="28"/>
      <c r="E222" s="6" t="s">
        <v>1337</v>
      </c>
      <c r="F222" s="37" t="s">
        <v>1205</v>
      </c>
    </row>
    <row r="223" spans="2:6" ht="15" customHeight="1" x14ac:dyDescent="0.35">
      <c r="B223" s="28"/>
      <c r="E223" s="6" t="s">
        <v>1338</v>
      </c>
      <c r="F223" s="37" t="s">
        <v>1205</v>
      </c>
    </row>
    <row r="224" spans="2:6" ht="15" customHeight="1" x14ac:dyDescent="0.35">
      <c r="B224" s="28"/>
      <c r="E224" s="6" t="s">
        <v>1339</v>
      </c>
      <c r="F224" s="37" t="s">
        <v>1205</v>
      </c>
    </row>
    <row r="225" spans="2:6" ht="15" customHeight="1" x14ac:dyDescent="0.35">
      <c r="B225" s="28"/>
      <c r="E225" s="6" t="s">
        <v>1340</v>
      </c>
      <c r="F225" s="37" t="s">
        <v>1205</v>
      </c>
    </row>
    <row r="226" spans="2:6" ht="15" customHeight="1" x14ac:dyDescent="0.35">
      <c r="B226" s="28"/>
      <c r="E226" s="6" t="s">
        <v>1341</v>
      </c>
      <c r="F226" s="37" t="s">
        <v>1205</v>
      </c>
    </row>
    <row r="227" spans="2:6" ht="15" customHeight="1" x14ac:dyDescent="0.35">
      <c r="B227" s="28"/>
      <c r="E227" s="6" t="s">
        <v>1342</v>
      </c>
      <c r="F227" s="37" t="s">
        <v>1205</v>
      </c>
    </row>
    <row r="228" spans="2:6" ht="15" customHeight="1" x14ac:dyDescent="0.35">
      <c r="B228" s="28"/>
      <c r="E228" s="6" t="s">
        <v>1343</v>
      </c>
      <c r="F228" s="37" t="s">
        <v>1205</v>
      </c>
    </row>
    <row r="229" spans="2:6" ht="15" customHeight="1" x14ac:dyDescent="0.35">
      <c r="B229" s="28"/>
      <c r="E229" s="6" t="s">
        <v>1344</v>
      </c>
      <c r="F229" s="37" t="s">
        <v>1205</v>
      </c>
    </row>
    <row r="230" spans="2:6" ht="15" customHeight="1" x14ac:dyDescent="0.35">
      <c r="B230" s="28"/>
      <c r="E230" s="6" t="s">
        <v>1345</v>
      </c>
      <c r="F230" s="37" t="s">
        <v>1205</v>
      </c>
    </row>
    <row r="231" spans="2:6" ht="15" customHeight="1" x14ac:dyDescent="0.35">
      <c r="B231" s="28"/>
      <c r="E231" s="6" t="s">
        <v>1346</v>
      </c>
      <c r="F231" s="37" t="s">
        <v>1205</v>
      </c>
    </row>
    <row r="232" spans="2:6" ht="15" customHeight="1" thickBot="1" x14ac:dyDescent="0.4">
      <c r="B232" s="29"/>
      <c r="C232" s="39"/>
      <c r="D232" s="39"/>
      <c r="E232" s="40" t="s">
        <v>1347</v>
      </c>
      <c r="F232" s="51" t="s">
        <v>1205</v>
      </c>
    </row>
    <row r="233" spans="2:6" ht="15" customHeight="1" x14ac:dyDescent="0.35">
      <c r="E233" s="5" t="s">
        <v>1609</v>
      </c>
      <c r="F233" s="4" t="s">
        <v>1205</v>
      </c>
    </row>
    <row r="234" spans="2:6" ht="15" customHeight="1" thickBot="1" x14ac:dyDescent="0.4"/>
    <row r="235" spans="2:6" ht="15" customHeight="1" x14ac:dyDescent="0.35">
      <c r="B235" s="30" t="s">
        <v>45</v>
      </c>
      <c r="C235" s="32" t="s">
        <v>48</v>
      </c>
      <c r="D235" s="32" t="s">
        <v>1086</v>
      </c>
      <c r="E235" s="33" t="s">
        <v>1091</v>
      </c>
      <c r="F235" s="76" t="s">
        <v>1217</v>
      </c>
    </row>
    <row r="236" spans="2:6" ht="15" customHeight="1" thickBot="1" x14ac:dyDescent="0.4">
      <c r="B236" s="29"/>
      <c r="C236" s="39"/>
      <c r="D236" s="39"/>
      <c r="E236" s="40" t="s">
        <v>1348</v>
      </c>
      <c r="F236" s="51" t="s">
        <v>1217</v>
      </c>
    </row>
    <row r="237" spans="2:6" ht="15" customHeight="1" x14ac:dyDescent="0.35">
      <c r="E237" s="5" t="s">
        <v>1659</v>
      </c>
      <c r="F237" s="4" t="s">
        <v>1217</v>
      </c>
    </row>
    <row r="238" spans="2:6" ht="15" customHeight="1" thickBot="1" x14ac:dyDescent="0.4"/>
    <row r="239" spans="2:6" ht="15" customHeight="1" x14ac:dyDescent="0.35">
      <c r="B239" s="30" t="s">
        <v>45</v>
      </c>
      <c r="C239" s="32" t="s">
        <v>1843</v>
      </c>
      <c r="D239" s="32" t="s">
        <v>1092</v>
      </c>
      <c r="E239" s="33" t="s">
        <v>1349</v>
      </c>
      <c r="F239" s="76" t="s">
        <v>1217</v>
      </c>
    </row>
    <row r="240" spans="2:6" ht="15" customHeight="1" x14ac:dyDescent="0.35">
      <c r="B240" s="28"/>
      <c r="E240" s="6" t="s">
        <v>1094</v>
      </c>
      <c r="F240" s="37" t="s">
        <v>1217</v>
      </c>
    </row>
    <row r="241" spans="2:6" ht="15" customHeight="1" x14ac:dyDescent="0.35">
      <c r="B241" s="28"/>
      <c r="E241" s="6" t="s">
        <v>1350</v>
      </c>
      <c r="F241" s="37" t="s">
        <v>1217</v>
      </c>
    </row>
    <row r="242" spans="2:6" ht="15" customHeight="1" x14ac:dyDescent="0.35">
      <c r="B242" s="28"/>
      <c r="E242" s="6" t="s">
        <v>1351</v>
      </c>
      <c r="F242" s="37" t="s">
        <v>1217</v>
      </c>
    </row>
    <row r="243" spans="2:6" ht="15" customHeight="1" thickBot="1" x14ac:dyDescent="0.4">
      <c r="B243" s="29"/>
      <c r="C243" s="39"/>
      <c r="D243" s="39"/>
      <c r="E243" s="40" t="s">
        <v>1352</v>
      </c>
      <c r="F243" s="51" t="s">
        <v>1217</v>
      </c>
    </row>
    <row r="244" spans="2:6" ht="15" customHeight="1" x14ac:dyDescent="0.35">
      <c r="E244" s="5" t="s">
        <v>1610</v>
      </c>
      <c r="F244" s="4" t="s">
        <v>1217</v>
      </c>
    </row>
    <row r="245" spans="2:6" ht="15" customHeight="1" thickBot="1" x14ac:dyDescent="0.4">
      <c r="E245" s="5"/>
      <c r="F245" s="4"/>
    </row>
    <row r="246" spans="2:6" ht="15" customHeight="1" thickBot="1" x14ac:dyDescent="0.4">
      <c r="B246" s="44" t="s">
        <v>45</v>
      </c>
      <c r="C246" s="45" t="s">
        <v>1843</v>
      </c>
      <c r="D246" s="45" t="s">
        <v>1092</v>
      </c>
      <c r="E246" s="46" t="s">
        <v>1353</v>
      </c>
      <c r="F246" s="74" t="s">
        <v>1205</v>
      </c>
    </row>
    <row r="247" spans="2:6" ht="15" customHeight="1" x14ac:dyDescent="0.35">
      <c r="E247" s="5" t="s">
        <v>1613</v>
      </c>
      <c r="F247" s="4" t="s">
        <v>1205</v>
      </c>
    </row>
    <row r="248" spans="2:6" ht="15" customHeight="1" thickBot="1" x14ac:dyDescent="0.4"/>
    <row r="249" spans="2:6" ht="15" customHeight="1" x14ac:dyDescent="0.35">
      <c r="B249" s="30" t="s">
        <v>45</v>
      </c>
      <c r="C249" s="32" t="s">
        <v>1843</v>
      </c>
      <c r="D249" s="32" t="s">
        <v>1092</v>
      </c>
      <c r="E249" s="33" t="s">
        <v>1354</v>
      </c>
      <c r="F249" s="76" t="s">
        <v>1217</v>
      </c>
    </row>
    <row r="250" spans="2:6" ht="15" customHeight="1" x14ac:dyDescent="0.35">
      <c r="B250" s="28"/>
      <c r="E250" s="6" t="s">
        <v>1355</v>
      </c>
      <c r="F250" s="37" t="s">
        <v>1217</v>
      </c>
    </row>
    <row r="251" spans="2:6" ht="15" customHeight="1" x14ac:dyDescent="0.35">
      <c r="B251" s="28"/>
      <c r="E251" s="6" t="s">
        <v>1356</v>
      </c>
      <c r="F251" s="37" t="s">
        <v>1205</v>
      </c>
    </row>
    <row r="252" spans="2:6" ht="15" customHeight="1" x14ac:dyDescent="0.35">
      <c r="B252" s="28"/>
      <c r="E252" s="6" t="s">
        <v>1357</v>
      </c>
      <c r="F252" s="37" t="s">
        <v>1205</v>
      </c>
    </row>
    <row r="253" spans="2:6" ht="15" customHeight="1" x14ac:dyDescent="0.35">
      <c r="B253" s="28"/>
      <c r="E253" s="6" t="s">
        <v>1358</v>
      </c>
      <c r="F253" s="37" t="s">
        <v>1217</v>
      </c>
    </row>
    <row r="254" spans="2:6" ht="15" customHeight="1" x14ac:dyDescent="0.35">
      <c r="B254" s="28"/>
      <c r="E254" s="6" t="s">
        <v>1102</v>
      </c>
      <c r="F254" s="37" t="s">
        <v>1217</v>
      </c>
    </row>
    <row r="255" spans="2:6" ht="15" customHeight="1" thickBot="1" x14ac:dyDescent="0.4">
      <c r="B255" s="29"/>
      <c r="C255" s="39"/>
      <c r="D255" s="39"/>
      <c r="E255" s="40" t="s">
        <v>1359</v>
      </c>
      <c r="F255" s="51" t="s">
        <v>1217</v>
      </c>
    </row>
    <row r="256" spans="2:6" ht="15" customHeight="1" x14ac:dyDescent="0.35">
      <c r="E256" s="5" t="s">
        <v>1614</v>
      </c>
    </row>
    <row r="257" spans="2:6" ht="15" customHeight="1" x14ac:dyDescent="0.35">
      <c r="E257" s="5" t="s">
        <v>1360</v>
      </c>
    </row>
    <row r="258" spans="2:6" ht="15" customHeight="1" thickBot="1" x14ac:dyDescent="0.4"/>
    <row r="259" spans="2:6" ht="15" customHeight="1" x14ac:dyDescent="0.35">
      <c r="B259" s="30" t="s">
        <v>45</v>
      </c>
      <c r="C259" s="32" t="s">
        <v>1843</v>
      </c>
      <c r="D259" s="32" t="s">
        <v>1092</v>
      </c>
      <c r="E259" s="33" t="s">
        <v>1361</v>
      </c>
      <c r="F259" s="76" t="s">
        <v>1217</v>
      </c>
    </row>
    <row r="260" spans="2:6" ht="15" customHeight="1" x14ac:dyDescent="0.35">
      <c r="B260" s="28"/>
      <c r="E260" s="6" t="s">
        <v>1104</v>
      </c>
      <c r="F260" s="37" t="s">
        <v>1217</v>
      </c>
    </row>
    <row r="261" spans="2:6" ht="15" customHeight="1" x14ac:dyDescent="0.35">
      <c r="B261" s="28"/>
      <c r="E261" s="6" t="s">
        <v>1362</v>
      </c>
      <c r="F261" s="37" t="s">
        <v>1217</v>
      </c>
    </row>
    <row r="262" spans="2:6" ht="15" customHeight="1" x14ac:dyDescent="0.35">
      <c r="B262" s="28"/>
      <c r="E262" s="6" t="s">
        <v>1363</v>
      </c>
      <c r="F262" s="37" t="s">
        <v>1217</v>
      </c>
    </row>
    <row r="263" spans="2:6" ht="15" customHeight="1" x14ac:dyDescent="0.35">
      <c r="B263" s="28"/>
      <c r="E263" s="6" t="s">
        <v>1364</v>
      </c>
      <c r="F263" s="37" t="s">
        <v>1217</v>
      </c>
    </row>
    <row r="264" spans="2:6" ht="15" customHeight="1" x14ac:dyDescent="0.35">
      <c r="B264" s="28"/>
      <c r="E264" s="6" t="s">
        <v>1365</v>
      </c>
      <c r="F264" s="37" t="s">
        <v>1217</v>
      </c>
    </row>
    <row r="265" spans="2:6" ht="15" customHeight="1" x14ac:dyDescent="0.35">
      <c r="B265" s="28"/>
      <c r="E265" s="6" t="s">
        <v>1366</v>
      </c>
      <c r="F265" s="37" t="s">
        <v>1217</v>
      </c>
    </row>
    <row r="266" spans="2:6" ht="15" customHeight="1" x14ac:dyDescent="0.35">
      <c r="B266" s="28"/>
      <c r="E266" s="6" t="s">
        <v>1367</v>
      </c>
      <c r="F266" s="37" t="s">
        <v>1217</v>
      </c>
    </row>
    <row r="267" spans="2:6" ht="15" customHeight="1" thickBot="1" x14ac:dyDescent="0.4">
      <c r="B267" s="29"/>
      <c r="C267" s="39"/>
      <c r="D267" s="39"/>
      <c r="E267" s="40" t="s">
        <v>1368</v>
      </c>
      <c r="F267" s="51" t="s">
        <v>1217</v>
      </c>
    </row>
    <row r="268" spans="2:6" ht="15" customHeight="1" x14ac:dyDescent="0.35">
      <c r="E268" s="5" t="s">
        <v>1615</v>
      </c>
      <c r="F268" s="4" t="s">
        <v>1217</v>
      </c>
    </row>
    <row r="269" spans="2:6" ht="15" customHeight="1" thickBot="1" x14ac:dyDescent="0.4"/>
    <row r="270" spans="2:6" ht="15" customHeight="1" x14ac:dyDescent="0.35">
      <c r="B270" s="30" t="s">
        <v>45</v>
      </c>
      <c r="C270" s="32" t="s">
        <v>1844</v>
      </c>
      <c r="D270" s="32" t="s">
        <v>1107</v>
      </c>
      <c r="E270" s="33" t="s">
        <v>1108</v>
      </c>
      <c r="F270" s="76" t="s">
        <v>1205</v>
      </c>
    </row>
    <row r="271" spans="2:6" ht="15" customHeight="1" x14ac:dyDescent="0.35">
      <c r="B271" s="28"/>
      <c r="E271" s="6" t="s">
        <v>1109</v>
      </c>
      <c r="F271" s="37" t="s">
        <v>1205</v>
      </c>
    </row>
    <row r="272" spans="2:6" ht="15" customHeight="1" x14ac:dyDescent="0.35">
      <c r="B272" s="28"/>
      <c r="E272" s="6" t="s">
        <v>1369</v>
      </c>
      <c r="F272" s="37" t="s">
        <v>1205</v>
      </c>
    </row>
    <row r="273" spans="2:6" ht="15" customHeight="1" x14ac:dyDescent="0.35">
      <c r="B273" s="28"/>
      <c r="E273" s="6" t="s">
        <v>1110</v>
      </c>
      <c r="F273" s="37" t="s">
        <v>1205</v>
      </c>
    </row>
    <row r="274" spans="2:6" ht="15" customHeight="1" x14ac:dyDescent="0.35">
      <c r="B274" s="28"/>
      <c r="E274" s="6" t="s">
        <v>1370</v>
      </c>
      <c r="F274" s="37" t="s">
        <v>1205</v>
      </c>
    </row>
    <row r="275" spans="2:6" ht="15" customHeight="1" x14ac:dyDescent="0.35">
      <c r="B275" s="28"/>
      <c r="E275" s="6" t="s">
        <v>1112</v>
      </c>
      <c r="F275" s="37" t="s">
        <v>1205</v>
      </c>
    </row>
    <row r="276" spans="2:6" ht="15" customHeight="1" x14ac:dyDescent="0.35">
      <c r="B276" s="28"/>
      <c r="E276" s="6" t="s">
        <v>1371</v>
      </c>
      <c r="F276" s="37" t="s">
        <v>1205</v>
      </c>
    </row>
    <row r="277" spans="2:6" ht="15" customHeight="1" thickBot="1" x14ac:dyDescent="0.4">
      <c r="B277" s="29"/>
      <c r="C277" s="39"/>
      <c r="D277" s="39"/>
      <c r="E277" s="40" t="s">
        <v>1372</v>
      </c>
      <c r="F277" s="51" t="s">
        <v>1205</v>
      </c>
    </row>
    <row r="278" spans="2:6" ht="15" customHeight="1" x14ac:dyDescent="0.35">
      <c r="E278" s="5" t="s">
        <v>1616</v>
      </c>
      <c r="F278" s="4" t="s">
        <v>1205</v>
      </c>
    </row>
    <row r="279" spans="2:6" ht="15" customHeight="1" thickBot="1" x14ac:dyDescent="0.4"/>
    <row r="280" spans="2:6" ht="15" customHeight="1" thickBot="1" x14ac:dyDescent="0.4">
      <c r="B280" s="44" t="s">
        <v>45</v>
      </c>
      <c r="C280" s="45" t="s">
        <v>1845</v>
      </c>
      <c r="D280" s="45" t="s">
        <v>1114</v>
      </c>
      <c r="E280" s="46" t="s">
        <v>1116</v>
      </c>
      <c r="F280" s="74" t="s">
        <v>1217</v>
      </c>
    </row>
    <row r="281" spans="2:6" ht="15" customHeight="1" x14ac:dyDescent="0.35">
      <c r="E281" s="5" t="s">
        <v>1618</v>
      </c>
      <c r="F281" s="4" t="s">
        <v>1217</v>
      </c>
    </row>
    <row r="282" spans="2:6" ht="15" customHeight="1" thickBot="1" x14ac:dyDescent="0.4"/>
    <row r="283" spans="2:6" ht="15" customHeight="1" x14ac:dyDescent="0.35">
      <c r="B283" s="30" t="s">
        <v>45</v>
      </c>
      <c r="C283" s="32" t="s">
        <v>49</v>
      </c>
      <c r="D283" s="32" t="s">
        <v>1117</v>
      </c>
      <c r="E283" s="33" t="s">
        <v>1373</v>
      </c>
      <c r="F283" s="76" t="s">
        <v>1217</v>
      </c>
    </row>
    <row r="284" spans="2:6" ht="15" customHeight="1" x14ac:dyDescent="0.35">
      <c r="B284" s="28"/>
      <c r="E284" s="6" t="s">
        <v>1119</v>
      </c>
      <c r="F284" s="37" t="s">
        <v>1217</v>
      </c>
    </row>
    <row r="285" spans="2:6" ht="15" customHeight="1" x14ac:dyDescent="0.35">
      <c r="B285" s="28"/>
      <c r="E285" s="6" t="s">
        <v>1374</v>
      </c>
      <c r="F285" s="37" t="s">
        <v>1217</v>
      </c>
    </row>
    <row r="286" spans="2:6" ht="15" customHeight="1" x14ac:dyDescent="0.35">
      <c r="B286" s="28"/>
      <c r="E286" s="6" t="s">
        <v>1122</v>
      </c>
      <c r="F286" s="37" t="s">
        <v>1217</v>
      </c>
    </row>
    <row r="287" spans="2:6" ht="15" customHeight="1" x14ac:dyDescent="0.35">
      <c r="B287" s="28"/>
      <c r="E287" s="6" t="s">
        <v>1375</v>
      </c>
      <c r="F287" s="37" t="s">
        <v>1217</v>
      </c>
    </row>
    <row r="288" spans="2:6" ht="15" customHeight="1" x14ac:dyDescent="0.35">
      <c r="B288" s="28"/>
      <c r="E288" s="6" t="s">
        <v>1376</v>
      </c>
      <c r="F288" s="37" t="s">
        <v>1217</v>
      </c>
    </row>
    <row r="289" spans="2:6" ht="15" customHeight="1" x14ac:dyDescent="0.35">
      <c r="B289" s="28"/>
      <c r="E289" s="6" t="s">
        <v>1377</v>
      </c>
      <c r="F289" s="37" t="s">
        <v>1217</v>
      </c>
    </row>
    <row r="290" spans="2:6" ht="15" customHeight="1" thickBot="1" x14ac:dyDescent="0.4">
      <c r="B290" s="29"/>
      <c r="C290" s="39"/>
      <c r="D290" s="39"/>
      <c r="E290" s="40" t="s">
        <v>1378</v>
      </c>
      <c r="F290" s="51" t="s">
        <v>1217</v>
      </c>
    </row>
    <row r="291" spans="2:6" ht="15" customHeight="1" x14ac:dyDescent="0.35">
      <c r="E291" s="5" t="s">
        <v>1620</v>
      </c>
      <c r="F291" s="4" t="s">
        <v>1217</v>
      </c>
    </row>
    <row r="292" spans="2:6" ht="15" customHeight="1" thickBot="1" x14ac:dyDescent="0.4"/>
    <row r="293" spans="2:6" ht="15" customHeight="1" x14ac:dyDescent="0.35">
      <c r="B293" s="30" t="s">
        <v>45</v>
      </c>
      <c r="C293" s="32" t="s">
        <v>1668</v>
      </c>
      <c r="D293" s="32" t="s">
        <v>1127</v>
      </c>
      <c r="E293" s="33" t="s">
        <v>1129</v>
      </c>
      <c r="F293" s="76" t="s">
        <v>1217</v>
      </c>
    </row>
    <row r="294" spans="2:6" ht="15" customHeight="1" x14ac:dyDescent="0.35">
      <c r="B294" s="28"/>
      <c r="E294" s="6" t="s">
        <v>1379</v>
      </c>
      <c r="F294" s="37" t="s">
        <v>1217</v>
      </c>
    </row>
    <row r="295" spans="2:6" ht="15" customHeight="1" x14ac:dyDescent="0.35">
      <c r="B295" s="28"/>
      <c r="E295" s="6" t="s">
        <v>1380</v>
      </c>
      <c r="F295" s="37" t="s">
        <v>1217</v>
      </c>
    </row>
    <row r="296" spans="2:6" ht="15" customHeight="1" x14ac:dyDescent="0.35">
      <c r="B296" s="28"/>
      <c r="E296" s="6" t="s">
        <v>1381</v>
      </c>
      <c r="F296" s="37" t="s">
        <v>1217</v>
      </c>
    </row>
    <row r="297" spans="2:6" ht="15" customHeight="1" thickBot="1" x14ac:dyDescent="0.4">
      <c r="B297" s="29"/>
      <c r="C297" s="39"/>
      <c r="D297" s="39"/>
      <c r="E297" s="40" t="s">
        <v>1382</v>
      </c>
      <c r="F297" s="51" t="s">
        <v>1217</v>
      </c>
    </row>
    <row r="298" spans="2:6" ht="15" customHeight="1" x14ac:dyDescent="0.35">
      <c r="E298" s="5" t="s">
        <v>1625</v>
      </c>
      <c r="F298" s="4" t="s">
        <v>1217</v>
      </c>
    </row>
    <row r="299" spans="2:6" ht="15" customHeight="1" thickBot="1" x14ac:dyDescent="0.4"/>
    <row r="300" spans="2:6" ht="15" customHeight="1" x14ac:dyDescent="0.35">
      <c r="B300" s="30" t="s">
        <v>45</v>
      </c>
      <c r="C300" s="32" t="s">
        <v>1846</v>
      </c>
      <c r="D300" s="32" t="s">
        <v>1131</v>
      </c>
      <c r="E300" s="33" t="s">
        <v>1383</v>
      </c>
      <c r="F300" s="76" t="s">
        <v>1217</v>
      </c>
    </row>
    <row r="301" spans="2:6" ht="15" customHeight="1" x14ac:dyDescent="0.35">
      <c r="B301" s="28"/>
      <c r="E301" s="6" t="s">
        <v>1384</v>
      </c>
      <c r="F301" s="37" t="s">
        <v>1217</v>
      </c>
    </row>
    <row r="302" spans="2:6" ht="15" customHeight="1" x14ac:dyDescent="0.35">
      <c r="B302" s="28"/>
      <c r="E302" s="6" t="s">
        <v>1385</v>
      </c>
      <c r="F302" s="37" t="s">
        <v>1217</v>
      </c>
    </row>
    <row r="303" spans="2:6" ht="15" customHeight="1" x14ac:dyDescent="0.35">
      <c r="B303" s="28"/>
      <c r="E303" s="6" t="s">
        <v>1386</v>
      </c>
      <c r="F303" s="37" t="s">
        <v>1217</v>
      </c>
    </row>
    <row r="304" spans="2:6" ht="15" customHeight="1" x14ac:dyDescent="0.35">
      <c r="B304" s="28"/>
      <c r="E304" s="6" t="s">
        <v>1387</v>
      </c>
      <c r="F304" s="37" t="s">
        <v>1217</v>
      </c>
    </row>
    <row r="305" spans="2:6" ht="15" customHeight="1" x14ac:dyDescent="0.35">
      <c r="B305" s="28"/>
      <c r="E305" s="6" t="s">
        <v>1388</v>
      </c>
      <c r="F305" s="37" t="s">
        <v>1217</v>
      </c>
    </row>
    <row r="306" spans="2:6" ht="15" customHeight="1" thickBot="1" x14ac:dyDescent="0.4">
      <c r="B306" s="29"/>
      <c r="C306" s="39"/>
      <c r="D306" s="39"/>
      <c r="E306" s="40" t="s">
        <v>1389</v>
      </c>
      <c r="F306" s="51" t="s">
        <v>1217</v>
      </c>
    </row>
    <row r="307" spans="2:6" ht="15" customHeight="1" x14ac:dyDescent="0.35">
      <c r="E307" s="5" t="s">
        <v>1624</v>
      </c>
      <c r="F307" s="4" t="s">
        <v>1217</v>
      </c>
    </row>
    <row r="308" spans="2:6" ht="15" customHeight="1" thickBot="1" x14ac:dyDescent="0.4"/>
    <row r="309" spans="2:6" ht="15" customHeight="1" thickBot="1" x14ac:dyDescent="0.4">
      <c r="B309" s="44" t="s">
        <v>45</v>
      </c>
      <c r="C309" s="45" t="s">
        <v>1846</v>
      </c>
      <c r="D309" s="45" t="s">
        <v>1131</v>
      </c>
      <c r="E309" s="46" t="s">
        <v>1390</v>
      </c>
      <c r="F309" s="74" t="s">
        <v>1217</v>
      </c>
    </row>
    <row r="310" spans="2:6" ht="15" customHeight="1" x14ac:dyDescent="0.35">
      <c r="E310" s="5" t="s">
        <v>1626</v>
      </c>
      <c r="F310" s="4" t="s">
        <v>1217</v>
      </c>
    </row>
    <row r="311" spans="2:6" ht="15" customHeight="1" thickBot="1" x14ac:dyDescent="0.4"/>
    <row r="312" spans="2:6" ht="15" customHeight="1" x14ac:dyDescent="0.35">
      <c r="B312" s="30" t="s">
        <v>45</v>
      </c>
      <c r="C312" s="32" t="s">
        <v>1846</v>
      </c>
      <c r="D312" s="32" t="s">
        <v>1135</v>
      </c>
      <c r="E312" s="33" t="s">
        <v>1391</v>
      </c>
      <c r="F312" s="76" t="s">
        <v>1217</v>
      </c>
    </row>
    <row r="313" spans="2:6" ht="15" customHeight="1" x14ac:dyDescent="0.35">
      <c r="B313" s="28"/>
      <c r="E313" s="6" t="s">
        <v>1392</v>
      </c>
      <c r="F313" s="37" t="s">
        <v>1217</v>
      </c>
    </row>
    <row r="314" spans="2:6" ht="15" customHeight="1" x14ac:dyDescent="0.35">
      <c r="B314" s="28"/>
      <c r="E314" s="6" t="s">
        <v>1393</v>
      </c>
      <c r="F314" s="37" t="s">
        <v>1217</v>
      </c>
    </row>
    <row r="315" spans="2:6" ht="15" customHeight="1" x14ac:dyDescent="0.35">
      <c r="B315" s="28"/>
      <c r="E315" s="6" t="s">
        <v>1394</v>
      </c>
      <c r="F315" s="37" t="s">
        <v>1217</v>
      </c>
    </row>
    <row r="316" spans="2:6" ht="15" customHeight="1" thickBot="1" x14ac:dyDescent="0.4">
      <c r="B316" s="29"/>
      <c r="C316" s="39"/>
      <c r="D316" s="39"/>
      <c r="E316" s="40" t="s">
        <v>1395</v>
      </c>
      <c r="F316" s="51" t="s">
        <v>1217</v>
      </c>
    </row>
    <row r="317" spans="2:6" ht="15" customHeight="1" x14ac:dyDescent="0.35">
      <c r="E317" s="5" t="s">
        <v>1627</v>
      </c>
      <c r="F317" s="4" t="s">
        <v>1217</v>
      </c>
    </row>
    <row r="318" spans="2:6" ht="15" customHeight="1" thickBot="1" x14ac:dyDescent="0.4"/>
    <row r="319" spans="2:6" ht="15" customHeight="1" x14ac:dyDescent="0.35">
      <c r="B319" s="30" t="s">
        <v>45</v>
      </c>
      <c r="C319" s="32" t="s">
        <v>1846</v>
      </c>
      <c r="D319" s="32" t="s">
        <v>1140</v>
      </c>
      <c r="E319" s="33" t="s">
        <v>1396</v>
      </c>
      <c r="F319" s="76" t="s">
        <v>1217</v>
      </c>
    </row>
    <row r="320" spans="2:6" ht="15" customHeight="1" x14ac:dyDescent="0.35">
      <c r="B320" s="28"/>
      <c r="E320" s="6" t="s">
        <v>1397</v>
      </c>
      <c r="F320" s="37" t="s">
        <v>1217</v>
      </c>
    </row>
    <row r="321" spans="2:6" ht="15" customHeight="1" x14ac:dyDescent="0.35">
      <c r="B321" s="28"/>
      <c r="E321" s="6" t="s">
        <v>1398</v>
      </c>
      <c r="F321" s="37" t="s">
        <v>1217</v>
      </c>
    </row>
    <row r="322" spans="2:6" ht="15" customHeight="1" x14ac:dyDescent="0.35">
      <c r="B322" s="28"/>
      <c r="E322" s="6" t="s">
        <v>1399</v>
      </c>
      <c r="F322" s="37" t="s">
        <v>1217</v>
      </c>
    </row>
    <row r="323" spans="2:6" ht="15" customHeight="1" x14ac:dyDescent="0.35">
      <c r="B323" s="28"/>
      <c r="E323" s="6" t="s">
        <v>1400</v>
      </c>
      <c r="F323" s="37" t="s">
        <v>1217</v>
      </c>
    </row>
    <row r="324" spans="2:6" ht="15" customHeight="1" x14ac:dyDescent="0.35">
      <c r="B324" s="28"/>
      <c r="E324" s="6" t="s">
        <v>1142</v>
      </c>
      <c r="F324" s="37" t="s">
        <v>1217</v>
      </c>
    </row>
    <row r="325" spans="2:6" ht="15" customHeight="1" x14ac:dyDescent="0.35">
      <c r="B325" s="28"/>
      <c r="E325" s="6" t="s">
        <v>1401</v>
      </c>
      <c r="F325" s="37" t="s">
        <v>1217</v>
      </c>
    </row>
    <row r="326" spans="2:6" ht="15" customHeight="1" x14ac:dyDescent="0.35">
      <c r="B326" s="28"/>
      <c r="E326" s="6" t="s">
        <v>1402</v>
      </c>
      <c r="F326" s="37" t="s">
        <v>1217</v>
      </c>
    </row>
    <row r="327" spans="2:6" ht="15" customHeight="1" x14ac:dyDescent="0.35">
      <c r="B327" s="28"/>
      <c r="E327" s="6" t="s">
        <v>1403</v>
      </c>
      <c r="F327" s="37" t="s">
        <v>1217</v>
      </c>
    </row>
    <row r="328" spans="2:6" ht="15" customHeight="1" x14ac:dyDescent="0.35">
      <c r="B328" s="28"/>
      <c r="E328" s="6" t="s">
        <v>1404</v>
      </c>
      <c r="F328" s="37" t="s">
        <v>1217</v>
      </c>
    </row>
    <row r="329" spans="2:6" ht="15" customHeight="1" x14ac:dyDescent="0.35">
      <c r="B329" s="28"/>
      <c r="E329" s="6" t="s">
        <v>1405</v>
      </c>
      <c r="F329" s="37" t="s">
        <v>1217</v>
      </c>
    </row>
    <row r="330" spans="2:6" ht="15" customHeight="1" x14ac:dyDescent="0.35">
      <c r="B330" s="28"/>
      <c r="E330" s="6" t="s">
        <v>1406</v>
      </c>
      <c r="F330" s="37" t="s">
        <v>1217</v>
      </c>
    </row>
    <row r="331" spans="2:6" ht="15" customHeight="1" x14ac:dyDescent="0.35">
      <c r="B331" s="28"/>
      <c r="E331" s="6" t="s">
        <v>1145</v>
      </c>
      <c r="F331" s="37" t="s">
        <v>1217</v>
      </c>
    </row>
    <row r="332" spans="2:6" ht="15" customHeight="1" x14ac:dyDescent="0.35">
      <c r="B332" s="28"/>
      <c r="E332" s="6" t="s">
        <v>1407</v>
      </c>
      <c r="F332" s="37" t="s">
        <v>1217</v>
      </c>
    </row>
    <row r="333" spans="2:6" ht="15" customHeight="1" x14ac:dyDescent="0.35">
      <c r="B333" s="28"/>
      <c r="E333" s="6" t="s">
        <v>1408</v>
      </c>
      <c r="F333" s="37" t="s">
        <v>1217</v>
      </c>
    </row>
    <row r="334" spans="2:6" ht="15" customHeight="1" x14ac:dyDescent="0.35">
      <c r="B334" s="28"/>
      <c r="E334" s="6" t="s">
        <v>1409</v>
      </c>
      <c r="F334" s="37" t="s">
        <v>1217</v>
      </c>
    </row>
    <row r="335" spans="2:6" ht="15" customHeight="1" x14ac:dyDescent="0.35">
      <c r="B335" s="28"/>
      <c r="E335" s="6" t="s">
        <v>1147</v>
      </c>
      <c r="F335" s="37" t="s">
        <v>1217</v>
      </c>
    </row>
    <row r="336" spans="2:6" ht="15" customHeight="1" x14ac:dyDescent="0.35">
      <c r="B336" s="28"/>
      <c r="E336" s="6" t="s">
        <v>1410</v>
      </c>
      <c r="F336" s="37" t="s">
        <v>1217</v>
      </c>
    </row>
    <row r="337" spans="2:6" ht="15" customHeight="1" x14ac:dyDescent="0.35">
      <c r="B337" s="28"/>
      <c r="E337" s="6" t="s">
        <v>1411</v>
      </c>
      <c r="F337" s="37" t="s">
        <v>1217</v>
      </c>
    </row>
    <row r="338" spans="2:6" ht="15" customHeight="1" x14ac:dyDescent="0.35">
      <c r="B338" s="28"/>
      <c r="E338" s="6" t="s">
        <v>1412</v>
      </c>
      <c r="F338" s="37" t="s">
        <v>1217</v>
      </c>
    </row>
    <row r="339" spans="2:6" ht="15" customHeight="1" x14ac:dyDescent="0.35">
      <c r="B339" s="28"/>
      <c r="E339" s="6" t="s">
        <v>1150</v>
      </c>
      <c r="F339" s="37" t="s">
        <v>1217</v>
      </c>
    </row>
    <row r="340" spans="2:6" ht="15" customHeight="1" x14ac:dyDescent="0.35">
      <c r="B340" s="28"/>
      <c r="E340" s="6" t="s">
        <v>1413</v>
      </c>
      <c r="F340" s="37" t="s">
        <v>1217</v>
      </c>
    </row>
    <row r="341" spans="2:6" ht="15" customHeight="1" x14ac:dyDescent="0.35">
      <c r="B341" s="28"/>
      <c r="E341" s="6" t="s">
        <v>1414</v>
      </c>
      <c r="F341" s="37" t="s">
        <v>1217</v>
      </c>
    </row>
    <row r="342" spans="2:6" ht="15" customHeight="1" x14ac:dyDescent="0.35">
      <c r="B342" s="28"/>
      <c r="E342" s="6" t="s">
        <v>1415</v>
      </c>
      <c r="F342" s="37" t="s">
        <v>1217</v>
      </c>
    </row>
    <row r="343" spans="2:6" ht="15" customHeight="1" x14ac:dyDescent="0.35">
      <c r="B343" s="28"/>
      <c r="E343" s="6" t="s">
        <v>1416</v>
      </c>
      <c r="F343" s="37" t="s">
        <v>1217</v>
      </c>
    </row>
    <row r="344" spans="2:6" ht="15" customHeight="1" thickBot="1" x14ac:dyDescent="0.4">
      <c r="B344" s="29"/>
      <c r="C344" s="39"/>
      <c r="D344" s="39"/>
      <c r="E344" s="40" t="s">
        <v>1417</v>
      </c>
      <c r="F344" s="51" t="s">
        <v>1217</v>
      </c>
    </row>
    <row r="345" spans="2:6" ht="15" customHeight="1" x14ac:dyDescent="0.35">
      <c r="E345" s="5" t="s">
        <v>1628</v>
      </c>
      <c r="F345" s="4" t="s">
        <v>1217</v>
      </c>
    </row>
    <row r="346" spans="2:6" ht="15" customHeight="1" thickBot="1" x14ac:dyDescent="0.4">
      <c r="E346" s="5"/>
      <c r="F346" s="4"/>
    </row>
    <row r="347" spans="2:6" ht="15" customHeight="1" x14ac:dyDescent="0.35">
      <c r="B347" s="30" t="s">
        <v>45</v>
      </c>
      <c r="C347" s="32" t="s">
        <v>1846</v>
      </c>
      <c r="D347" s="32" t="s">
        <v>1154</v>
      </c>
      <c r="E347" s="33" t="s">
        <v>1418</v>
      </c>
      <c r="F347" s="76" t="s">
        <v>1217</v>
      </c>
    </row>
    <row r="348" spans="2:6" ht="15" customHeight="1" thickBot="1" x14ac:dyDescent="0.4">
      <c r="B348" s="29"/>
      <c r="C348" s="39"/>
      <c r="D348" s="39"/>
      <c r="E348" s="40" t="s">
        <v>1419</v>
      </c>
      <c r="F348" s="51" t="s">
        <v>1217</v>
      </c>
    </row>
    <row r="349" spans="2:6" ht="15" customHeight="1" x14ac:dyDescent="0.35">
      <c r="E349" s="5" t="s">
        <v>1629</v>
      </c>
      <c r="F349" s="4" t="s">
        <v>1217</v>
      </c>
    </row>
    <row r="350" spans="2:6" ht="15" customHeight="1" thickBot="1" x14ac:dyDescent="0.4"/>
    <row r="351" spans="2:6" ht="15" customHeight="1" x14ac:dyDescent="0.35">
      <c r="B351" s="30" t="s">
        <v>45</v>
      </c>
      <c r="C351" s="32" t="s">
        <v>1846</v>
      </c>
      <c r="D351" s="32" t="s">
        <v>1158</v>
      </c>
      <c r="E351" s="33" t="s">
        <v>1420</v>
      </c>
      <c r="F351" s="76" t="s">
        <v>1205</v>
      </c>
    </row>
    <row r="352" spans="2:6" ht="15" customHeight="1" x14ac:dyDescent="0.35">
      <c r="B352" s="28"/>
      <c r="E352" s="6" t="s">
        <v>1421</v>
      </c>
      <c r="F352" s="37" t="s">
        <v>1217</v>
      </c>
    </row>
    <row r="353" spans="2:6" ht="15" customHeight="1" x14ac:dyDescent="0.35">
      <c r="B353" s="28"/>
      <c r="E353" s="6" t="s">
        <v>1422</v>
      </c>
      <c r="F353" s="37" t="s">
        <v>1217</v>
      </c>
    </row>
    <row r="354" spans="2:6" ht="15" customHeight="1" x14ac:dyDescent="0.35">
      <c r="B354" s="28"/>
      <c r="E354" s="6" t="s">
        <v>1423</v>
      </c>
      <c r="F354" s="37" t="s">
        <v>1217</v>
      </c>
    </row>
    <row r="355" spans="2:6" ht="15" customHeight="1" x14ac:dyDescent="0.35">
      <c r="B355" s="28"/>
      <c r="E355" s="6" t="s">
        <v>1424</v>
      </c>
      <c r="F355" s="37" t="s">
        <v>1205</v>
      </c>
    </row>
    <row r="356" spans="2:6" ht="15" customHeight="1" x14ac:dyDescent="0.35">
      <c r="B356" s="28"/>
      <c r="E356" s="6" t="s">
        <v>1425</v>
      </c>
      <c r="F356" s="37" t="s">
        <v>1205</v>
      </c>
    </row>
    <row r="357" spans="2:6" ht="15" customHeight="1" x14ac:dyDescent="0.35">
      <c r="B357" s="28"/>
      <c r="E357" s="6" t="s">
        <v>1426</v>
      </c>
      <c r="F357" s="37" t="s">
        <v>1205</v>
      </c>
    </row>
    <row r="358" spans="2:6" ht="15" customHeight="1" x14ac:dyDescent="0.35">
      <c r="B358" s="28"/>
      <c r="E358" s="6" t="s">
        <v>1427</v>
      </c>
      <c r="F358" s="37" t="s">
        <v>1205</v>
      </c>
    </row>
    <row r="359" spans="2:6" ht="15" customHeight="1" x14ac:dyDescent="0.35">
      <c r="B359" s="28"/>
      <c r="E359" s="6" t="s">
        <v>1428</v>
      </c>
      <c r="F359" s="37" t="s">
        <v>1205</v>
      </c>
    </row>
    <row r="360" spans="2:6" ht="15" customHeight="1" x14ac:dyDescent="0.35">
      <c r="B360" s="28"/>
      <c r="E360" s="6" t="s">
        <v>1429</v>
      </c>
      <c r="F360" s="37" t="s">
        <v>1217</v>
      </c>
    </row>
    <row r="361" spans="2:6" ht="15" customHeight="1" x14ac:dyDescent="0.35">
      <c r="B361" s="28"/>
      <c r="E361" s="6" t="s">
        <v>1430</v>
      </c>
      <c r="F361" s="37" t="s">
        <v>1205</v>
      </c>
    </row>
    <row r="362" spans="2:6" ht="15" customHeight="1" x14ac:dyDescent="0.35">
      <c r="B362" s="28"/>
      <c r="E362" s="6" t="s">
        <v>1431</v>
      </c>
      <c r="F362" s="37" t="s">
        <v>1205</v>
      </c>
    </row>
    <row r="363" spans="2:6" ht="15" customHeight="1" x14ac:dyDescent="0.35">
      <c r="B363" s="28"/>
      <c r="E363" s="6" t="s">
        <v>1432</v>
      </c>
      <c r="F363" s="37" t="s">
        <v>1217</v>
      </c>
    </row>
    <row r="364" spans="2:6" ht="15" customHeight="1" x14ac:dyDescent="0.35">
      <c r="B364" s="28"/>
      <c r="E364" s="6" t="s">
        <v>1433</v>
      </c>
      <c r="F364" s="37" t="s">
        <v>1217</v>
      </c>
    </row>
    <row r="365" spans="2:6" ht="15" customHeight="1" x14ac:dyDescent="0.35">
      <c r="B365" s="28"/>
      <c r="E365" s="6" t="s">
        <v>1434</v>
      </c>
      <c r="F365" s="37" t="s">
        <v>1217</v>
      </c>
    </row>
    <row r="366" spans="2:6" ht="15" customHeight="1" x14ac:dyDescent="0.35">
      <c r="B366" s="28"/>
      <c r="E366" s="6" t="s">
        <v>1435</v>
      </c>
      <c r="F366" s="37" t="s">
        <v>1217</v>
      </c>
    </row>
    <row r="367" spans="2:6" ht="15" customHeight="1" x14ac:dyDescent="0.35">
      <c r="B367" s="28"/>
      <c r="E367" s="6" t="s">
        <v>1436</v>
      </c>
      <c r="F367" s="37" t="s">
        <v>1217</v>
      </c>
    </row>
    <row r="368" spans="2:6" ht="15" customHeight="1" thickBot="1" x14ac:dyDescent="0.4">
      <c r="B368" s="29"/>
      <c r="C368" s="39"/>
      <c r="D368" s="39"/>
      <c r="E368" s="40" t="s">
        <v>1437</v>
      </c>
      <c r="F368" s="51" t="s">
        <v>1217</v>
      </c>
    </row>
    <row r="369" spans="2:35" ht="15" customHeight="1" x14ac:dyDescent="0.35">
      <c r="E369" s="5" t="s">
        <v>1633</v>
      </c>
      <c r="F369" s="4" t="s">
        <v>1217</v>
      </c>
    </row>
    <row r="370" spans="2:35" ht="15" customHeight="1" x14ac:dyDescent="0.35">
      <c r="E370" s="5" t="s">
        <v>1438</v>
      </c>
    </row>
    <row r="372" spans="2:35" ht="15" customHeight="1" x14ac:dyDescent="0.35">
      <c r="E372" s="5" t="s">
        <v>1673</v>
      </c>
    </row>
    <row r="373" spans="2:35" ht="15" customHeight="1" x14ac:dyDescent="0.35">
      <c r="E373" s="5" t="s">
        <v>1438</v>
      </c>
    </row>
    <row r="374" spans="2:35" ht="15" customHeight="1" thickBot="1" x14ac:dyDescent="0.4"/>
    <row r="375" spans="2:35" ht="15" customHeight="1" x14ac:dyDescent="0.35">
      <c r="B375" s="30" t="s">
        <v>45</v>
      </c>
      <c r="C375" s="32" t="s">
        <v>1846</v>
      </c>
      <c r="D375" s="32" t="s">
        <v>1439</v>
      </c>
      <c r="E375" s="33" t="s">
        <v>1440</v>
      </c>
      <c r="F375" s="76" t="s">
        <v>1217</v>
      </c>
      <c r="M375" s="1">
        <v>1</v>
      </c>
    </row>
    <row r="376" spans="2:35" ht="15" customHeight="1" x14ac:dyDescent="0.35">
      <c r="B376" s="28"/>
      <c r="E376" s="6" t="s">
        <v>1441</v>
      </c>
      <c r="F376" s="37" t="s">
        <v>1217</v>
      </c>
      <c r="X376" s="1">
        <v>1.0454545454545454</v>
      </c>
      <c r="Y376" s="1">
        <v>9.0909090909090912E-2</v>
      </c>
    </row>
    <row r="377" spans="2:35" ht="15" customHeight="1" x14ac:dyDescent="0.35">
      <c r="B377" s="28"/>
      <c r="E377" s="6" t="s">
        <v>1442</v>
      </c>
      <c r="F377" s="37" t="s">
        <v>1217</v>
      </c>
      <c r="AI377" s="1">
        <v>1.96875</v>
      </c>
    </row>
    <row r="378" spans="2:35" ht="15" customHeight="1" x14ac:dyDescent="0.35">
      <c r="B378" s="28"/>
      <c r="E378" s="6" t="s">
        <v>1443</v>
      </c>
      <c r="F378" s="37" t="s">
        <v>1217</v>
      </c>
      <c r="AI378" s="1">
        <v>2.15625</v>
      </c>
    </row>
    <row r="379" spans="2:35" ht="15" customHeight="1" x14ac:dyDescent="0.35">
      <c r="B379" s="28"/>
      <c r="E379" s="6" t="s">
        <v>1444</v>
      </c>
      <c r="F379" s="37" t="s">
        <v>1217</v>
      </c>
      <c r="T379" s="1">
        <v>4</v>
      </c>
    </row>
    <row r="380" spans="2:35" ht="15" customHeight="1" x14ac:dyDescent="0.35">
      <c r="B380" s="28"/>
      <c r="E380" s="6" t="s">
        <v>1445</v>
      </c>
      <c r="F380" s="37" t="s">
        <v>1217</v>
      </c>
      <c r="AI380" s="1">
        <v>0.25</v>
      </c>
    </row>
    <row r="381" spans="2:35" ht="15" customHeight="1" thickBot="1" x14ac:dyDescent="0.4">
      <c r="B381" s="29"/>
      <c r="C381" s="39"/>
      <c r="D381" s="39"/>
      <c r="E381" s="40" t="s">
        <v>1446</v>
      </c>
      <c r="F381" s="51" t="s">
        <v>1217</v>
      </c>
      <c r="X381" s="1">
        <v>0.13636363636363635</v>
      </c>
    </row>
    <row r="382" spans="2:35" ht="15" customHeight="1" x14ac:dyDescent="0.35">
      <c r="E382" s="5" t="s">
        <v>1674</v>
      </c>
      <c r="F382" s="4" t="s">
        <v>1217</v>
      </c>
    </row>
    <row r="383" spans="2:35" ht="15" customHeight="1" thickBot="1" x14ac:dyDescent="0.4"/>
    <row r="384" spans="2:35" ht="15" customHeight="1" x14ac:dyDescent="0.35">
      <c r="B384" s="30" t="s">
        <v>45</v>
      </c>
      <c r="C384" s="32" t="s">
        <v>1847</v>
      </c>
      <c r="D384" s="32" t="s">
        <v>1171</v>
      </c>
      <c r="E384" s="33" t="s">
        <v>1447</v>
      </c>
      <c r="F384" s="76" t="s">
        <v>1217</v>
      </c>
    </row>
    <row r="385" spans="2:6" ht="15" customHeight="1" x14ac:dyDescent="0.35">
      <c r="B385" s="28"/>
      <c r="E385" s="6" t="s">
        <v>1173</v>
      </c>
      <c r="F385" s="37" t="s">
        <v>1217</v>
      </c>
    </row>
    <row r="386" spans="2:6" ht="15" customHeight="1" x14ac:dyDescent="0.35">
      <c r="B386" s="28"/>
      <c r="E386" s="6" t="s">
        <v>1448</v>
      </c>
      <c r="F386" s="37" t="s">
        <v>1217</v>
      </c>
    </row>
    <row r="387" spans="2:6" ht="15" customHeight="1" x14ac:dyDescent="0.35">
      <c r="B387" s="28"/>
      <c r="E387" s="6" t="s">
        <v>1449</v>
      </c>
      <c r="F387" s="37" t="s">
        <v>1217</v>
      </c>
    </row>
    <row r="388" spans="2:6" ht="15" customHeight="1" x14ac:dyDescent="0.35">
      <c r="B388" s="28"/>
      <c r="E388" s="6" t="s">
        <v>1450</v>
      </c>
      <c r="F388" s="37" t="s">
        <v>1217</v>
      </c>
    </row>
    <row r="389" spans="2:6" ht="15" customHeight="1" thickBot="1" x14ac:dyDescent="0.4">
      <c r="B389" s="29"/>
      <c r="C389" s="39"/>
      <c r="D389" s="39"/>
      <c r="E389" s="40" t="s">
        <v>1176</v>
      </c>
      <c r="F389" s="51" t="s">
        <v>1217</v>
      </c>
    </row>
    <row r="390" spans="2:6" ht="15" customHeight="1" x14ac:dyDescent="0.35">
      <c r="E390" s="5" t="s">
        <v>1635</v>
      </c>
      <c r="F390" s="4" t="s">
        <v>1217</v>
      </c>
    </row>
    <row r="391" spans="2:6" ht="15" customHeight="1" thickBot="1" x14ac:dyDescent="0.4"/>
    <row r="392" spans="2:6" ht="15" customHeight="1" x14ac:dyDescent="0.35">
      <c r="B392" s="30" t="s">
        <v>45</v>
      </c>
      <c r="C392" s="32" t="s">
        <v>1847</v>
      </c>
      <c r="D392" s="32" t="s">
        <v>1171</v>
      </c>
      <c r="E392" s="33" t="s">
        <v>1181</v>
      </c>
      <c r="F392" s="76" t="s">
        <v>1217</v>
      </c>
    </row>
    <row r="393" spans="2:6" ht="15" customHeight="1" thickBot="1" x14ac:dyDescent="0.4">
      <c r="B393" s="29"/>
      <c r="C393" s="39"/>
      <c r="D393" s="39"/>
      <c r="E393" s="40" t="s">
        <v>1451</v>
      </c>
      <c r="F393" s="51" t="s">
        <v>1217</v>
      </c>
    </row>
    <row r="394" spans="2:6" ht="15" customHeight="1" x14ac:dyDescent="0.35">
      <c r="E394" s="5" t="s">
        <v>1636</v>
      </c>
      <c r="F394" s="4" t="s">
        <v>1217</v>
      </c>
    </row>
    <row r="395" spans="2:6" ht="15" customHeight="1" thickBot="1" x14ac:dyDescent="0.4"/>
    <row r="396" spans="2:6" ht="15" customHeight="1" x14ac:dyDescent="0.35">
      <c r="B396" s="30" t="s">
        <v>45</v>
      </c>
      <c r="C396" s="32" t="s">
        <v>54</v>
      </c>
      <c r="D396" s="32" t="s">
        <v>1182</v>
      </c>
      <c r="E396" s="33" t="s">
        <v>1452</v>
      </c>
      <c r="F396" s="76" t="s">
        <v>1217</v>
      </c>
    </row>
    <row r="397" spans="2:6" ht="15" customHeight="1" x14ac:dyDescent="0.35">
      <c r="B397" s="28"/>
      <c r="E397" s="6" t="s">
        <v>1453</v>
      </c>
      <c r="F397" s="37" t="s">
        <v>1217</v>
      </c>
    </row>
    <row r="398" spans="2:6" ht="15" customHeight="1" x14ac:dyDescent="0.35">
      <c r="B398" s="28"/>
      <c r="E398" s="6" t="s">
        <v>1454</v>
      </c>
      <c r="F398" s="37" t="s">
        <v>1217</v>
      </c>
    </row>
    <row r="399" spans="2:6" ht="15" customHeight="1" x14ac:dyDescent="0.35">
      <c r="B399" s="28"/>
      <c r="E399" s="6" t="s">
        <v>1455</v>
      </c>
      <c r="F399" s="37" t="s">
        <v>1217</v>
      </c>
    </row>
    <row r="400" spans="2:6" ht="15" customHeight="1" x14ac:dyDescent="0.35">
      <c r="B400" s="28"/>
      <c r="E400" s="6" t="s">
        <v>1456</v>
      </c>
      <c r="F400" s="37" t="s">
        <v>1217</v>
      </c>
    </row>
    <row r="401" spans="2:6" ht="15" customHeight="1" x14ac:dyDescent="0.35">
      <c r="B401" s="28"/>
      <c r="E401" s="6" t="s">
        <v>1185</v>
      </c>
      <c r="F401" s="37" t="s">
        <v>1217</v>
      </c>
    </row>
    <row r="402" spans="2:6" ht="15" customHeight="1" x14ac:dyDescent="0.35">
      <c r="B402" s="28"/>
      <c r="E402" s="6" t="s">
        <v>1457</v>
      </c>
      <c r="F402" s="37" t="s">
        <v>1217</v>
      </c>
    </row>
    <row r="403" spans="2:6" ht="15" customHeight="1" x14ac:dyDescent="0.35">
      <c r="B403" s="28"/>
      <c r="E403" s="6" t="s">
        <v>1458</v>
      </c>
      <c r="F403" s="37" t="s">
        <v>1217</v>
      </c>
    </row>
    <row r="404" spans="2:6" ht="15" customHeight="1" x14ac:dyDescent="0.35">
      <c r="B404" s="28"/>
      <c r="E404" s="6" t="s">
        <v>1459</v>
      </c>
      <c r="F404" s="37" t="s">
        <v>1217</v>
      </c>
    </row>
    <row r="405" spans="2:6" ht="15" customHeight="1" x14ac:dyDescent="0.35">
      <c r="B405" s="28"/>
      <c r="E405" s="6" t="s">
        <v>1186</v>
      </c>
      <c r="F405" s="37" t="s">
        <v>1217</v>
      </c>
    </row>
    <row r="406" spans="2:6" ht="15" customHeight="1" x14ac:dyDescent="0.35">
      <c r="B406" s="28"/>
      <c r="E406" s="6" t="s">
        <v>1460</v>
      </c>
      <c r="F406" s="37" t="s">
        <v>1217</v>
      </c>
    </row>
    <row r="407" spans="2:6" ht="15" customHeight="1" x14ac:dyDescent="0.35">
      <c r="B407" s="28"/>
      <c r="E407" s="6" t="s">
        <v>1461</v>
      </c>
      <c r="F407" s="37" t="s">
        <v>1217</v>
      </c>
    </row>
    <row r="408" spans="2:6" ht="15" customHeight="1" x14ac:dyDescent="0.35">
      <c r="B408" s="28"/>
      <c r="E408" s="6" t="s">
        <v>1462</v>
      </c>
      <c r="F408" s="37" t="s">
        <v>1217</v>
      </c>
    </row>
    <row r="409" spans="2:6" ht="15" customHeight="1" x14ac:dyDescent="0.35">
      <c r="B409" s="28"/>
      <c r="E409" s="6" t="s">
        <v>1187</v>
      </c>
      <c r="F409" s="37" t="s">
        <v>1217</v>
      </c>
    </row>
    <row r="410" spans="2:6" ht="15" customHeight="1" x14ac:dyDescent="0.35">
      <c r="B410" s="28"/>
      <c r="E410" s="6" t="s">
        <v>1463</v>
      </c>
      <c r="F410" s="37" t="s">
        <v>1217</v>
      </c>
    </row>
    <row r="411" spans="2:6" ht="15" customHeight="1" x14ac:dyDescent="0.35">
      <c r="B411" s="28"/>
      <c r="E411" s="6" t="s">
        <v>1464</v>
      </c>
      <c r="F411" s="37" t="s">
        <v>1217</v>
      </c>
    </row>
    <row r="412" spans="2:6" ht="15" customHeight="1" x14ac:dyDescent="0.35">
      <c r="B412" s="28"/>
      <c r="E412" s="6" t="s">
        <v>1465</v>
      </c>
      <c r="F412" s="37" t="s">
        <v>1217</v>
      </c>
    </row>
    <row r="413" spans="2:6" ht="15" customHeight="1" x14ac:dyDescent="0.35">
      <c r="B413" s="28"/>
      <c r="E413" s="6" t="s">
        <v>1466</v>
      </c>
      <c r="F413" s="37" t="s">
        <v>1217</v>
      </c>
    </row>
    <row r="414" spans="2:6" ht="15" customHeight="1" thickBot="1" x14ac:dyDescent="0.4">
      <c r="B414" s="29"/>
      <c r="C414" s="39"/>
      <c r="D414" s="39"/>
      <c r="E414" s="40" t="s">
        <v>1467</v>
      </c>
      <c r="F414" s="51" t="s">
        <v>1217</v>
      </c>
    </row>
    <row r="415" spans="2:6" ht="15" customHeight="1" x14ac:dyDescent="0.35">
      <c r="E415" s="5" t="s">
        <v>1675</v>
      </c>
      <c r="F415" s="4" t="s">
        <v>1217</v>
      </c>
    </row>
    <row r="416" spans="2:6" ht="15" customHeight="1" thickBot="1" x14ac:dyDescent="0.4"/>
    <row r="417" spans="2:6" ht="15" customHeight="1" thickBot="1" x14ac:dyDescent="0.4">
      <c r="B417" s="44" t="s">
        <v>45</v>
      </c>
      <c r="C417" s="45" t="s">
        <v>54</v>
      </c>
      <c r="D417" s="45" t="s">
        <v>1182</v>
      </c>
      <c r="E417" s="46" t="s">
        <v>1468</v>
      </c>
      <c r="F417" s="74" t="s">
        <v>1217</v>
      </c>
    </row>
    <row r="418" spans="2:6" ht="15" customHeight="1" x14ac:dyDescent="0.35">
      <c r="E418" s="5" t="s">
        <v>1676</v>
      </c>
      <c r="F418" s="4" t="s">
        <v>1217</v>
      </c>
    </row>
    <row r="419" spans="2:6" ht="15" customHeight="1" thickBot="1" x14ac:dyDescent="0.4"/>
    <row r="420" spans="2:6" ht="15" customHeight="1" x14ac:dyDescent="0.35">
      <c r="B420" s="30" t="s">
        <v>45</v>
      </c>
      <c r="C420" s="32" t="s">
        <v>54</v>
      </c>
      <c r="D420" s="32" t="s">
        <v>1182</v>
      </c>
      <c r="E420" s="33" t="s">
        <v>1469</v>
      </c>
      <c r="F420" s="76" t="s">
        <v>1217</v>
      </c>
    </row>
    <row r="421" spans="2:6" ht="15" customHeight="1" x14ac:dyDescent="0.35">
      <c r="B421" s="28"/>
      <c r="E421" s="6" t="s">
        <v>1470</v>
      </c>
      <c r="F421" s="37" t="s">
        <v>1217</v>
      </c>
    </row>
    <row r="422" spans="2:6" ht="15" customHeight="1" x14ac:dyDescent="0.35">
      <c r="B422" s="28"/>
      <c r="E422" s="6" t="s">
        <v>1195</v>
      </c>
      <c r="F422" s="37" t="s">
        <v>1217</v>
      </c>
    </row>
    <row r="423" spans="2:6" ht="15" customHeight="1" x14ac:dyDescent="0.35">
      <c r="B423" s="28"/>
      <c r="E423" s="6" t="s">
        <v>1471</v>
      </c>
      <c r="F423" s="37" t="s">
        <v>1217</v>
      </c>
    </row>
    <row r="424" spans="2:6" ht="15" customHeight="1" x14ac:dyDescent="0.35">
      <c r="B424" s="28"/>
      <c r="E424" s="6" t="s">
        <v>1472</v>
      </c>
      <c r="F424" s="37" t="s">
        <v>1217</v>
      </c>
    </row>
    <row r="425" spans="2:6" ht="15" customHeight="1" x14ac:dyDescent="0.35">
      <c r="B425" s="28"/>
      <c r="E425" s="6" t="s">
        <v>1473</v>
      </c>
      <c r="F425" s="37" t="s">
        <v>1217</v>
      </c>
    </row>
    <row r="426" spans="2:6" ht="15" customHeight="1" x14ac:dyDescent="0.35">
      <c r="B426" s="28"/>
      <c r="E426" s="6" t="s">
        <v>1474</v>
      </c>
      <c r="F426" s="37" t="s">
        <v>1217</v>
      </c>
    </row>
    <row r="427" spans="2:6" ht="15" customHeight="1" x14ac:dyDescent="0.35">
      <c r="B427" s="28"/>
      <c r="E427" s="6" t="s">
        <v>1475</v>
      </c>
      <c r="F427" s="37" t="s">
        <v>1217</v>
      </c>
    </row>
    <row r="428" spans="2:6" ht="15" customHeight="1" x14ac:dyDescent="0.35">
      <c r="B428" s="28"/>
      <c r="E428" s="6" t="s">
        <v>1476</v>
      </c>
      <c r="F428" s="37" t="s">
        <v>1217</v>
      </c>
    </row>
    <row r="429" spans="2:6" ht="15" customHeight="1" x14ac:dyDescent="0.35">
      <c r="B429" s="28"/>
      <c r="E429" s="6" t="s">
        <v>1477</v>
      </c>
      <c r="F429" s="37" t="s">
        <v>1217</v>
      </c>
    </row>
    <row r="430" spans="2:6" ht="15" customHeight="1" x14ac:dyDescent="0.35">
      <c r="B430" s="28"/>
      <c r="E430" s="6" t="s">
        <v>1478</v>
      </c>
      <c r="F430" s="37" t="s">
        <v>1217</v>
      </c>
    </row>
    <row r="431" spans="2:6" ht="15" customHeight="1" x14ac:dyDescent="0.35">
      <c r="B431" s="28"/>
      <c r="E431" s="6" t="s">
        <v>1197</v>
      </c>
      <c r="F431" s="37" t="s">
        <v>1217</v>
      </c>
    </row>
    <row r="432" spans="2:6" ht="15" customHeight="1" x14ac:dyDescent="0.35">
      <c r="B432" s="28"/>
      <c r="E432" s="6" t="s">
        <v>1479</v>
      </c>
      <c r="F432" s="37" t="s">
        <v>1217</v>
      </c>
    </row>
    <row r="433" spans="2:6" ht="15" customHeight="1" x14ac:dyDescent="0.35">
      <c r="B433" s="28"/>
      <c r="E433" s="6" t="s">
        <v>1198</v>
      </c>
      <c r="F433" s="37" t="s">
        <v>1217</v>
      </c>
    </row>
    <row r="434" spans="2:6" ht="15" customHeight="1" x14ac:dyDescent="0.35">
      <c r="B434" s="28"/>
      <c r="E434" s="6" t="s">
        <v>1480</v>
      </c>
      <c r="F434" s="37" t="s">
        <v>1217</v>
      </c>
    </row>
    <row r="435" spans="2:6" ht="15" customHeight="1" x14ac:dyDescent="0.35">
      <c r="B435" s="28"/>
      <c r="E435" s="6" t="s">
        <v>1481</v>
      </c>
      <c r="F435" s="37" t="s">
        <v>1217</v>
      </c>
    </row>
    <row r="436" spans="2:6" ht="15" customHeight="1" thickBot="1" x14ac:dyDescent="0.4">
      <c r="B436" s="29"/>
      <c r="C436" s="39"/>
      <c r="D436" s="39"/>
      <c r="E436" s="40" t="s">
        <v>1482</v>
      </c>
      <c r="F436" s="51" t="s">
        <v>1217</v>
      </c>
    </row>
    <row r="437" spans="2:6" ht="15" customHeight="1" x14ac:dyDescent="0.35">
      <c r="E437" s="5" t="s">
        <v>1678</v>
      </c>
      <c r="F437" s="4" t="s">
        <v>1217</v>
      </c>
    </row>
    <row r="439" spans="2:6" ht="15" customHeight="1" x14ac:dyDescent="0.35">
      <c r="B439" s="129" t="s">
        <v>1875</v>
      </c>
    </row>
    <row r="440" spans="2:6" ht="15" customHeight="1" x14ac:dyDescent="0.35">
      <c r="B440" s="183" t="s">
        <v>1994</v>
      </c>
      <c r="C440" s="183"/>
      <c r="D440" s="183"/>
      <c r="E440" s="183"/>
      <c r="F440" s="183"/>
    </row>
    <row r="441" spans="2:6" ht="15" customHeight="1" x14ac:dyDescent="0.35">
      <c r="B441" s="183"/>
      <c r="C441" s="183"/>
      <c r="D441" s="183"/>
      <c r="E441" s="183"/>
      <c r="F441" s="183"/>
    </row>
    <row r="442" spans="2:6" ht="15" customHeight="1" x14ac:dyDescent="0.35">
      <c r="B442" s="183"/>
      <c r="C442" s="183"/>
      <c r="D442" s="183"/>
      <c r="E442" s="183"/>
      <c r="F442" s="183"/>
    </row>
    <row r="443" spans="2:6" ht="15" customHeight="1" x14ac:dyDescent="0.35">
      <c r="B443" s="183"/>
      <c r="C443" s="183"/>
      <c r="D443" s="183"/>
      <c r="E443" s="183"/>
      <c r="F443" s="183"/>
    </row>
    <row r="444" spans="2:6" ht="15" customHeight="1" x14ac:dyDescent="0.35">
      <c r="B444" s="183"/>
      <c r="C444" s="183"/>
      <c r="D444" s="183"/>
      <c r="E444" s="183"/>
      <c r="F444" s="183"/>
    </row>
    <row r="445" spans="2:6" ht="15" customHeight="1" x14ac:dyDescent="0.35">
      <c r="B445" s="183"/>
      <c r="C445" s="183"/>
      <c r="D445" s="183"/>
      <c r="E445" s="183"/>
      <c r="F445" s="183"/>
    </row>
    <row r="446" spans="2:6" ht="15" customHeight="1" x14ac:dyDescent="0.35">
      <c r="B446" s="183"/>
      <c r="C446" s="183"/>
      <c r="D446" s="183"/>
      <c r="E446" s="183"/>
      <c r="F446" s="183"/>
    </row>
    <row r="447" spans="2:6" ht="15" customHeight="1" x14ac:dyDescent="0.35">
      <c r="B447" s="183"/>
      <c r="C447" s="183"/>
      <c r="D447" s="183"/>
      <c r="E447" s="183"/>
      <c r="F447" s="183"/>
    </row>
    <row r="448" spans="2:6" ht="15" customHeight="1" x14ac:dyDescent="0.35">
      <c r="B448" s="183"/>
      <c r="C448" s="183"/>
      <c r="D448" s="183"/>
      <c r="E448" s="183"/>
      <c r="F448" s="183"/>
    </row>
    <row r="449" spans="2:6" ht="15" customHeight="1" x14ac:dyDescent="0.35">
      <c r="B449" s="183"/>
      <c r="C449" s="183"/>
      <c r="D449" s="183"/>
      <c r="E449" s="183"/>
      <c r="F449" s="183"/>
    </row>
    <row r="450" spans="2:6" ht="15" customHeight="1" x14ac:dyDescent="0.35">
      <c r="B450" s="183"/>
      <c r="C450" s="183"/>
      <c r="D450" s="183"/>
      <c r="E450" s="183"/>
      <c r="F450" s="183"/>
    </row>
    <row r="451" spans="2:6" ht="15" customHeight="1" x14ac:dyDescent="0.35">
      <c r="B451" s="183"/>
      <c r="C451" s="183"/>
      <c r="D451" s="183"/>
      <c r="E451" s="183"/>
      <c r="F451" s="183"/>
    </row>
    <row r="452" spans="2:6" ht="15" customHeight="1" x14ac:dyDescent="0.35">
      <c r="B452" s="183"/>
      <c r="C452" s="183"/>
      <c r="D452" s="183"/>
      <c r="E452" s="183"/>
      <c r="F452" s="183"/>
    </row>
    <row r="453" spans="2:6" ht="15" customHeight="1" x14ac:dyDescent="0.35">
      <c r="B453" s="183"/>
      <c r="C453" s="183"/>
      <c r="D453" s="183"/>
      <c r="E453" s="183"/>
      <c r="F453" s="183"/>
    </row>
    <row r="454" spans="2:6" ht="15" customHeight="1" x14ac:dyDescent="0.35">
      <c r="B454" s="183"/>
      <c r="C454" s="183"/>
      <c r="D454" s="183"/>
      <c r="E454" s="183"/>
      <c r="F454" s="183"/>
    </row>
    <row r="455" spans="2:6" ht="15" customHeight="1" x14ac:dyDescent="0.35">
      <c r="B455" s="183"/>
      <c r="C455" s="183"/>
      <c r="D455" s="183"/>
      <c r="E455" s="183"/>
      <c r="F455" s="183"/>
    </row>
    <row r="456" spans="2:6" ht="15" customHeight="1" x14ac:dyDescent="0.35">
      <c r="B456" s="183"/>
      <c r="C456" s="183"/>
      <c r="D456" s="183"/>
      <c r="E456" s="183"/>
      <c r="F456" s="183"/>
    </row>
    <row r="457" spans="2:6" ht="15" customHeight="1" x14ac:dyDescent="0.35">
      <c r="B457" s="183"/>
      <c r="C457" s="183"/>
      <c r="D457" s="183"/>
      <c r="E457" s="183"/>
      <c r="F457" s="183"/>
    </row>
    <row r="458" spans="2:6" ht="15" customHeight="1" x14ac:dyDescent="0.35">
      <c r="B458" s="183"/>
      <c r="C458" s="183"/>
      <c r="D458" s="183"/>
      <c r="E458" s="183"/>
      <c r="F458" s="183"/>
    </row>
    <row r="459" spans="2:6" ht="15" customHeight="1" x14ac:dyDescent="0.35">
      <c r="B459" s="183"/>
      <c r="C459" s="183"/>
      <c r="D459" s="183"/>
      <c r="E459" s="183"/>
      <c r="F459" s="183"/>
    </row>
  </sheetData>
  <mergeCells count="2">
    <mergeCell ref="B2:F2"/>
    <mergeCell ref="B440:F45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651BE-731B-40B7-9A24-D5FC103C6549}">
  <dimension ref="B2:N707"/>
  <sheetViews>
    <sheetView workbookViewId="0">
      <pane xSplit="1" ySplit="3" topLeftCell="B4" activePane="bottomRight" state="frozen"/>
      <selection pane="topRight" activeCell="B1" sqref="B1"/>
      <selection pane="bottomLeft" activeCell="A3" sqref="A3"/>
      <selection pane="bottomRight" activeCell="F4" sqref="F4"/>
    </sheetView>
  </sheetViews>
  <sheetFormatPr defaultRowHeight="15" customHeight="1" x14ac:dyDescent="0.35"/>
  <cols>
    <col min="1" max="1" width="4.640625" style="26" customWidth="1"/>
    <col min="2" max="2" width="19" style="1" customWidth="1"/>
    <col min="3" max="4" width="16.140625" style="1" customWidth="1"/>
    <col min="5" max="16384" width="9.140625" style="26"/>
  </cols>
  <sheetData>
    <row r="2" spans="2:14" ht="40" customHeight="1" thickBot="1" x14ac:dyDescent="0.4">
      <c r="B2" s="181" t="s">
        <v>1995</v>
      </c>
      <c r="C2" s="181"/>
      <c r="D2" s="181"/>
    </row>
    <row r="3" spans="2:14" ht="15" customHeight="1" thickBot="1" x14ac:dyDescent="0.4">
      <c r="B3" s="102" t="s">
        <v>27</v>
      </c>
      <c r="C3" s="103" t="s">
        <v>1876</v>
      </c>
      <c r="D3" s="105" t="s">
        <v>1877</v>
      </c>
    </row>
    <row r="4" spans="2:14" ht="15" customHeight="1" x14ac:dyDescent="0.35">
      <c r="B4" s="27" t="s">
        <v>1560</v>
      </c>
      <c r="C4" s="130">
        <v>397</v>
      </c>
      <c r="D4" s="131">
        <v>160</v>
      </c>
      <c r="F4" s="129" t="s">
        <v>1875</v>
      </c>
    </row>
    <row r="5" spans="2:14" ht="15" customHeight="1" x14ac:dyDescent="0.35">
      <c r="B5" s="28"/>
      <c r="C5" s="12">
        <v>398</v>
      </c>
      <c r="D5" s="96">
        <v>164</v>
      </c>
      <c r="F5" s="180" t="s">
        <v>1996</v>
      </c>
      <c r="G5" s="180"/>
      <c r="H5" s="180"/>
      <c r="I5" s="180"/>
      <c r="J5" s="180"/>
      <c r="K5" s="180"/>
      <c r="L5" s="180"/>
      <c r="M5" s="180"/>
      <c r="N5" s="180"/>
    </row>
    <row r="6" spans="2:14" ht="15" customHeight="1" x14ac:dyDescent="0.35">
      <c r="B6" s="28"/>
      <c r="C6" s="12">
        <v>399</v>
      </c>
      <c r="D6" s="96">
        <v>168</v>
      </c>
      <c r="F6" s="180"/>
      <c r="G6" s="180"/>
      <c r="H6" s="180"/>
      <c r="I6" s="180"/>
      <c r="J6" s="180"/>
      <c r="K6" s="180"/>
      <c r="L6" s="180"/>
      <c r="M6" s="180"/>
      <c r="N6" s="180"/>
    </row>
    <row r="7" spans="2:14" ht="15" customHeight="1" x14ac:dyDescent="0.35">
      <c r="B7" s="28"/>
      <c r="C7" s="12">
        <v>400</v>
      </c>
      <c r="D7" s="96">
        <v>171</v>
      </c>
      <c r="F7" s="180"/>
      <c r="G7" s="180"/>
      <c r="H7" s="180"/>
      <c r="I7" s="180"/>
      <c r="J7" s="180"/>
      <c r="K7" s="180"/>
      <c r="L7" s="180"/>
      <c r="M7" s="180"/>
      <c r="N7" s="180"/>
    </row>
    <row r="8" spans="2:14" ht="15" customHeight="1" x14ac:dyDescent="0.35">
      <c r="B8" s="28"/>
      <c r="C8" s="12">
        <v>400</v>
      </c>
      <c r="D8" s="96">
        <v>175</v>
      </c>
      <c r="F8" s="180"/>
      <c r="G8" s="180"/>
      <c r="H8" s="180"/>
      <c r="I8" s="180"/>
      <c r="J8" s="180"/>
      <c r="K8" s="180"/>
      <c r="L8" s="180"/>
      <c r="M8" s="180"/>
      <c r="N8" s="180"/>
    </row>
    <row r="9" spans="2:14" ht="15" customHeight="1" x14ac:dyDescent="0.35">
      <c r="B9" s="28"/>
      <c r="C9" s="12">
        <v>401</v>
      </c>
      <c r="D9" s="96">
        <v>178</v>
      </c>
      <c r="F9" s="180"/>
      <c r="G9" s="180"/>
      <c r="H9" s="180"/>
      <c r="I9" s="180"/>
      <c r="J9" s="180"/>
      <c r="K9" s="180"/>
      <c r="L9" s="180"/>
      <c r="M9" s="180"/>
      <c r="N9" s="180"/>
    </row>
    <row r="10" spans="2:14" ht="15" customHeight="1" x14ac:dyDescent="0.35">
      <c r="B10" s="28"/>
      <c r="C10" s="12">
        <v>402</v>
      </c>
      <c r="D10" s="96">
        <v>182</v>
      </c>
      <c r="F10" s="180"/>
      <c r="G10" s="180"/>
      <c r="H10" s="180"/>
      <c r="I10" s="180"/>
      <c r="J10" s="180"/>
      <c r="K10" s="180"/>
      <c r="L10" s="180"/>
      <c r="M10" s="180"/>
      <c r="N10" s="180"/>
    </row>
    <row r="11" spans="2:14" ht="15" customHeight="1" x14ac:dyDescent="0.35">
      <c r="B11" s="28"/>
      <c r="C11" s="12">
        <v>402</v>
      </c>
      <c r="D11" s="96">
        <v>185</v>
      </c>
      <c r="F11" s="180"/>
      <c r="G11" s="180"/>
      <c r="H11" s="180"/>
      <c r="I11" s="180"/>
      <c r="J11" s="180"/>
      <c r="K11" s="180"/>
      <c r="L11" s="180"/>
      <c r="M11" s="180"/>
      <c r="N11" s="180"/>
    </row>
    <row r="12" spans="2:14" ht="15" customHeight="1" x14ac:dyDescent="0.35">
      <c r="B12" s="28"/>
      <c r="C12" s="12">
        <v>405</v>
      </c>
      <c r="D12" s="96">
        <v>188</v>
      </c>
      <c r="F12" s="180"/>
      <c r="G12" s="180"/>
      <c r="H12" s="180"/>
      <c r="I12" s="180"/>
      <c r="J12" s="180"/>
      <c r="K12" s="180"/>
      <c r="L12" s="180"/>
      <c r="M12" s="180"/>
      <c r="N12" s="180"/>
    </row>
    <row r="13" spans="2:14" ht="15" customHeight="1" thickBot="1" x14ac:dyDescent="0.4">
      <c r="B13" s="29"/>
      <c r="C13" s="132">
        <v>408</v>
      </c>
      <c r="D13" s="98">
        <v>191</v>
      </c>
      <c r="F13" s="180"/>
      <c r="G13" s="180"/>
      <c r="H13" s="180"/>
      <c r="I13" s="180"/>
      <c r="J13" s="180"/>
      <c r="K13" s="180"/>
      <c r="L13" s="180"/>
      <c r="M13" s="180"/>
      <c r="N13" s="180"/>
    </row>
    <row r="14" spans="2:14" ht="15" customHeight="1" thickBot="1" x14ac:dyDescent="0.4">
      <c r="F14" s="180"/>
      <c r="G14" s="180"/>
      <c r="H14" s="180"/>
      <c r="I14" s="180"/>
      <c r="J14" s="180"/>
      <c r="K14" s="180"/>
      <c r="L14" s="180"/>
      <c r="M14" s="180"/>
      <c r="N14" s="180"/>
    </row>
    <row r="15" spans="2:14" ht="15" customHeight="1" x14ac:dyDescent="0.35">
      <c r="B15" s="30" t="s">
        <v>1741</v>
      </c>
      <c r="C15" s="32">
        <v>313</v>
      </c>
      <c r="D15" s="76">
        <v>179</v>
      </c>
      <c r="F15" s="180"/>
      <c r="G15" s="180"/>
      <c r="H15" s="180"/>
      <c r="I15" s="180"/>
      <c r="J15" s="180"/>
      <c r="K15" s="180"/>
      <c r="L15" s="180"/>
      <c r="M15" s="180"/>
      <c r="N15" s="180"/>
    </row>
    <row r="16" spans="2:14" ht="15" customHeight="1" x14ac:dyDescent="0.35">
      <c r="B16" s="28"/>
      <c r="C16" s="1">
        <v>320</v>
      </c>
      <c r="D16" s="37">
        <v>163</v>
      </c>
      <c r="F16" s="180"/>
      <c r="G16" s="180"/>
      <c r="H16" s="180"/>
      <c r="I16" s="180"/>
      <c r="J16" s="180"/>
      <c r="K16" s="180"/>
      <c r="L16" s="180"/>
      <c r="M16" s="180"/>
      <c r="N16" s="180"/>
    </row>
    <row r="17" spans="2:13" ht="15" customHeight="1" x14ac:dyDescent="0.35">
      <c r="B17" s="28"/>
      <c r="C17" s="1">
        <v>320</v>
      </c>
      <c r="D17" s="37">
        <v>157</v>
      </c>
      <c r="F17" s="185"/>
      <c r="G17" s="185"/>
      <c r="H17" s="185"/>
      <c r="I17" s="185"/>
      <c r="J17" s="185"/>
      <c r="K17" s="185"/>
      <c r="L17" s="185"/>
      <c r="M17" s="185"/>
    </row>
    <row r="18" spans="2:13" ht="15" customHeight="1" x14ac:dyDescent="0.35">
      <c r="B18" s="28"/>
      <c r="C18" s="1">
        <v>322</v>
      </c>
      <c r="D18" s="37">
        <v>156</v>
      </c>
      <c r="F18" s="185"/>
      <c r="G18" s="185"/>
      <c r="H18" s="185"/>
      <c r="I18" s="185"/>
      <c r="J18" s="185"/>
      <c r="K18" s="185"/>
      <c r="L18" s="185"/>
      <c r="M18" s="185"/>
    </row>
    <row r="19" spans="2:13" ht="15" customHeight="1" x14ac:dyDescent="0.35">
      <c r="B19" s="28"/>
      <c r="C19" s="1">
        <v>322</v>
      </c>
      <c r="D19" s="37">
        <v>154</v>
      </c>
    </row>
    <row r="20" spans="2:13" ht="15" customHeight="1" x14ac:dyDescent="0.35">
      <c r="B20" s="28"/>
      <c r="C20" s="1">
        <v>323</v>
      </c>
      <c r="D20" s="37">
        <v>148</v>
      </c>
    </row>
    <row r="21" spans="2:13" ht="15" customHeight="1" x14ac:dyDescent="0.35">
      <c r="B21" s="28"/>
      <c r="C21" s="1">
        <v>324</v>
      </c>
      <c r="D21" s="37">
        <v>149</v>
      </c>
    </row>
    <row r="22" spans="2:13" ht="15" customHeight="1" x14ac:dyDescent="0.35">
      <c r="B22" s="28"/>
      <c r="C22" s="1">
        <v>326</v>
      </c>
      <c r="D22" s="37">
        <v>173</v>
      </c>
    </row>
    <row r="23" spans="2:13" ht="15" customHeight="1" x14ac:dyDescent="0.35">
      <c r="B23" s="28"/>
      <c r="C23" s="1">
        <v>328</v>
      </c>
      <c r="D23" s="37">
        <v>167</v>
      </c>
    </row>
    <row r="24" spans="2:13" ht="15" customHeight="1" x14ac:dyDescent="0.35">
      <c r="B24" s="28"/>
      <c r="C24" s="1">
        <v>328</v>
      </c>
      <c r="D24" s="37">
        <v>150</v>
      </c>
    </row>
    <row r="25" spans="2:13" ht="15" customHeight="1" x14ac:dyDescent="0.35">
      <c r="B25" s="28"/>
      <c r="C25" s="1">
        <v>329</v>
      </c>
      <c r="D25" s="37">
        <v>147</v>
      </c>
    </row>
    <row r="26" spans="2:13" ht="15" customHeight="1" x14ac:dyDescent="0.35">
      <c r="B26" s="28"/>
      <c r="C26" s="1">
        <v>331</v>
      </c>
      <c r="D26" s="37">
        <v>159</v>
      </c>
    </row>
    <row r="27" spans="2:13" ht="15" customHeight="1" x14ac:dyDescent="0.35">
      <c r="B27" s="28"/>
      <c r="C27" s="1">
        <v>334</v>
      </c>
      <c r="D27" s="37">
        <v>142</v>
      </c>
    </row>
    <row r="28" spans="2:13" ht="15" customHeight="1" thickBot="1" x14ac:dyDescent="0.4">
      <c r="B28" s="29"/>
      <c r="C28" s="39">
        <v>339</v>
      </c>
      <c r="D28" s="51">
        <v>163</v>
      </c>
    </row>
    <row r="29" spans="2:13" ht="15" customHeight="1" thickBot="1" x14ac:dyDescent="0.4"/>
    <row r="30" spans="2:13" ht="15" customHeight="1" x14ac:dyDescent="0.35">
      <c r="B30" s="30" t="s">
        <v>1742</v>
      </c>
      <c r="C30" s="130">
        <v>572</v>
      </c>
      <c r="D30" s="131">
        <v>321</v>
      </c>
    </row>
    <row r="31" spans="2:13" ht="15" customHeight="1" x14ac:dyDescent="0.35">
      <c r="B31" s="28"/>
      <c r="C31" s="12">
        <v>579</v>
      </c>
      <c r="D31" s="96">
        <v>339</v>
      </c>
    </row>
    <row r="32" spans="2:13" ht="15" customHeight="1" x14ac:dyDescent="0.35">
      <c r="B32" s="28"/>
      <c r="C32" s="12">
        <v>587</v>
      </c>
      <c r="D32" s="96">
        <v>328</v>
      </c>
    </row>
    <row r="33" spans="2:4" ht="15" customHeight="1" x14ac:dyDescent="0.35">
      <c r="B33" s="28"/>
      <c r="C33" s="12">
        <v>591</v>
      </c>
      <c r="D33" s="96">
        <v>340</v>
      </c>
    </row>
    <row r="34" spans="2:4" ht="15" customHeight="1" x14ac:dyDescent="0.35">
      <c r="B34" s="28"/>
      <c r="C34" s="12">
        <v>598</v>
      </c>
      <c r="D34" s="96">
        <v>319</v>
      </c>
    </row>
    <row r="35" spans="2:4" ht="15" customHeight="1" x14ac:dyDescent="0.35">
      <c r="B35" s="28"/>
      <c r="C35" s="12">
        <v>599</v>
      </c>
      <c r="D35" s="96">
        <v>319</v>
      </c>
    </row>
    <row r="36" spans="2:4" ht="15" customHeight="1" x14ac:dyDescent="0.35">
      <c r="B36" s="28"/>
      <c r="C36" s="12">
        <v>601</v>
      </c>
      <c r="D36" s="96">
        <v>326</v>
      </c>
    </row>
    <row r="37" spans="2:4" ht="15" customHeight="1" x14ac:dyDescent="0.35">
      <c r="B37" s="28"/>
      <c r="C37" s="12">
        <v>606</v>
      </c>
      <c r="D37" s="96">
        <v>321</v>
      </c>
    </row>
    <row r="38" spans="2:4" ht="15" customHeight="1" x14ac:dyDescent="0.35">
      <c r="B38" s="28"/>
      <c r="C38" s="12">
        <v>627</v>
      </c>
      <c r="D38" s="96">
        <v>345</v>
      </c>
    </row>
    <row r="39" spans="2:4" ht="15" customHeight="1" x14ac:dyDescent="0.35">
      <c r="B39" s="28"/>
      <c r="C39" s="12">
        <v>629</v>
      </c>
      <c r="D39" s="96">
        <v>347</v>
      </c>
    </row>
    <row r="40" spans="2:4" ht="15" customHeight="1" thickBot="1" x14ac:dyDescent="0.4">
      <c r="B40" s="29"/>
      <c r="C40" s="132">
        <v>585</v>
      </c>
      <c r="D40" s="98">
        <v>308</v>
      </c>
    </row>
    <row r="41" spans="2:4" ht="15" customHeight="1" thickBot="1" x14ac:dyDescent="0.4"/>
    <row r="42" spans="2:4" ht="15" customHeight="1" x14ac:dyDescent="0.35">
      <c r="B42" s="30" t="s">
        <v>1743</v>
      </c>
      <c r="C42" s="130">
        <v>332</v>
      </c>
      <c r="D42" s="131">
        <v>190</v>
      </c>
    </row>
    <row r="43" spans="2:4" ht="15" customHeight="1" x14ac:dyDescent="0.35">
      <c r="B43" s="28"/>
      <c r="C43" s="12">
        <v>341</v>
      </c>
      <c r="D43" s="96">
        <v>186</v>
      </c>
    </row>
    <row r="44" spans="2:4" ht="15" customHeight="1" x14ac:dyDescent="0.35">
      <c r="B44" s="28"/>
      <c r="C44" s="12">
        <v>356</v>
      </c>
      <c r="D44" s="96">
        <v>194</v>
      </c>
    </row>
    <row r="45" spans="2:4" ht="15" customHeight="1" x14ac:dyDescent="0.35">
      <c r="B45" s="28"/>
      <c r="C45" s="12">
        <v>388</v>
      </c>
      <c r="D45" s="96">
        <v>201</v>
      </c>
    </row>
    <row r="46" spans="2:4" ht="15" customHeight="1" thickBot="1" x14ac:dyDescent="0.4">
      <c r="B46" s="29"/>
      <c r="C46" s="132">
        <v>412</v>
      </c>
      <c r="D46" s="98">
        <v>207</v>
      </c>
    </row>
    <row r="47" spans="2:4" ht="15" customHeight="1" thickBot="1" x14ac:dyDescent="0.4"/>
    <row r="48" spans="2:4" ht="15" customHeight="1" x14ac:dyDescent="0.35">
      <c r="B48" s="30" t="s">
        <v>1744</v>
      </c>
      <c r="C48" s="130">
        <v>724</v>
      </c>
      <c r="D48" s="131">
        <v>368</v>
      </c>
    </row>
    <row r="49" spans="2:4" ht="15" customHeight="1" x14ac:dyDescent="0.35">
      <c r="B49" s="28"/>
      <c r="C49" s="12">
        <v>751</v>
      </c>
      <c r="D49" s="96">
        <v>402</v>
      </c>
    </row>
    <row r="50" spans="2:4" ht="15" customHeight="1" x14ac:dyDescent="0.35">
      <c r="B50" s="28"/>
      <c r="C50" s="12">
        <v>783</v>
      </c>
      <c r="D50" s="96">
        <v>447</v>
      </c>
    </row>
    <row r="51" spans="2:4" ht="15" customHeight="1" x14ac:dyDescent="0.35">
      <c r="B51" s="28"/>
      <c r="C51" s="12">
        <v>816</v>
      </c>
      <c r="D51" s="96">
        <v>471</v>
      </c>
    </row>
    <row r="52" spans="2:4" ht="15" customHeight="1" x14ac:dyDescent="0.35">
      <c r="B52" s="28"/>
      <c r="C52" s="12">
        <v>842</v>
      </c>
      <c r="D52" s="96">
        <v>509</v>
      </c>
    </row>
    <row r="53" spans="2:4" ht="15" customHeight="1" x14ac:dyDescent="0.35">
      <c r="B53" s="28"/>
      <c r="C53" s="12">
        <v>881</v>
      </c>
      <c r="D53" s="96">
        <v>548</v>
      </c>
    </row>
    <row r="54" spans="2:4" ht="15" customHeight="1" thickBot="1" x14ac:dyDescent="0.4">
      <c r="B54" s="29"/>
      <c r="C54" s="132">
        <v>907</v>
      </c>
      <c r="D54" s="98">
        <v>563</v>
      </c>
    </row>
    <row r="55" spans="2:4" ht="15" customHeight="1" thickBot="1" x14ac:dyDescent="0.4"/>
    <row r="56" spans="2:4" ht="15" customHeight="1" x14ac:dyDescent="0.35">
      <c r="B56" s="30" t="s">
        <v>1745</v>
      </c>
      <c r="C56" s="130">
        <v>398</v>
      </c>
      <c r="D56" s="131">
        <v>185</v>
      </c>
    </row>
    <row r="57" spans="2:4" ht="15" customHeight="1" x14ac:dyDescent="0.35">
      <c r="B57" s="28"/>
      <c r="C57" s="12">
        <v>499</v>
      </c>
      <c r="D57" s="96">
        <v>263</v>
      </c>
    </row>
    <row r="58" spans="2:4" ht="15" customHeight="1" x14ac:dyDescent="0.35">
      <c r="B58" s="28"/>
      <c r="C58" s="12">
        <v>444</v>
      </c>
      <c r="D58" s="96">
        <v>237</v>
      </c>
    </row>
    <row r="59" spans="2:4" ht="15" customHeight="1" x14ac:dyDescent="0.35">
      <c r="B59" s="28"/>
      <c r="C59" s="12">
        <v>468</v>
      </c>
      <c r="D59" s="96">
        <v>248</v>
      </c>
    </row>
    <row r="60" spans="2:4" ht="15" customHeight="1" x14ac:dyDescent="0.35">
      <c r="B60" s="28"/>
      <c r="C60" s="12">
        <v>375</v>
      </c>
      <c r="D60" s="96">
        <v>207</v>
      </c>
    </row>
    <row r="61" spans="2:4" ht="15" customHeight="1" x14ac:dyDescent="0.35">
      <c r="B61" s="28"/>
      <c r="C61" s="12">
        <v>392</v>
      </c>
      <c r="D61" s="96">
        <v>204</v>
      </c>
    </row>
    <row r="62" spans="2:4" ht="15" customHeight="1" x14ac:dyDescent="0.35">
      <c r="B62" s="28"/>
      <c r="C62" s="12">
        <v>439</v>
      </c>
      <c r="D62" s="96">
        <v>233</v>
      </c>
    </row>
    <row r="63" spans="2:4" ht="15" customHeight="1" x14ac:dyDescent="0.35">
      <c r="B63" s="28"/>
      <c r="C63" s="12">
        <v>449</v>
      </c>
      <c r="D63" s="96">
        <v>231</v>
      </c>
    </row>
    <row r="64" spans="2:4" ht="15" customHeight="1" x14ac:dyDescent="0.35">
      <c r="B64" s="28"/>
      <c r="C64" s="12">
        <v>398</v>
      </c>
      <c r="D64" s="96">
        <v>154</v>
      </c>
    </row>
    <row r="65" spans="2:4" ht="15" customHeight="1" x14ac:dyDescent="0.35">
      <c r="B65" s="28"/>
      <c r="C65" s="12">
        <v>373</v>
      </c>
      <c r="D65" s="96">
        <v>167</v>
      </c>
    </row>
    <row r="66" spans="2:4" ht="15" customHeight="1" x14ac:dyDescent="0.35">
      <c r="B66" s="28"/>
      <c r="C66" s="12">
        <v>428</v>
      </c>
      <c r="D66" s="96">
        <v>249</v>
      </c>
    </row>
    <row r="67" spans="2:4" ht="15" customHeight="1" x14ac:dyDescent="0.35">
      <c r="B67" s="28"/>
      <c r="C67" s="12">
        <v>424</v>
      </c>
      <c r="D67" s="96">
        <v>180</v>
      </c>
    </row>
    <row r="68" spans="2:4" ht="15" customHeight="1" thickBot="1" x14ac:dyDescent="0.4">
      <c r="B68" s="29"/>
      <c r="C68" s="132">
        <v>405</v>
      </c>
      <c r="D68" s="98">
        <v>213</v>
      </c>
    </row>
    <row r="69" spans="2:4" ht="15" customHeight="1" thickBot="1" x14ac:dyDescent="0.4"/>
    <row r="70" spans="2:4" ht="15" customHeight="1" x14ac:dyDescent="0.35">
      <c r="B70" s="30" t="s">
        <v>1746</v>
      </c>
      <c r="C70" s="130">
        <v>482</v>
      </c>
      <c r="D70" s="131">
        <v>261</v>
      </c>
    </row>
    <row r="71" spans="2:4" ht="15" customHeight="1" x14ac:dyDescent="0.35">
      <c r="B71" s="28"/>
      <c r="C71" s="12">
        <v>545</v>
      </c>
      <c r="D71" s="96">
        <v>239</v>
      </c>
    </row>
    <row r="72" spans="2:4" ht="15" customHeight="1" x14ac:dyDescent="0.35">
      <c r="B72" s="28"/>
      <c r="C72" s="12">
        <v>501</v>
      </c>
      <c r="D72" s="96">
        <v>216</v>
      </c>
    </row>
    <row r="73" spans="2:4" ht="15" customHeight="1" x14ac:dyDescent="0.35">
      <c r="B73" s="28"/>
      <c r="C73" s="12">
        <v>550</v>
      </c>
      <c r="D73" s="96">
        <v>249</v>
      </c>
    </row>
    <row r="74" spans="2:4" ht="15" customHeight="1" x14ac:dyDescent="0.35">
      <c r="B74" s="28"/>
      <c r="C74" s="12">
        <v>494</v>
      </c>
      <c r="D74" s="96">
        <v>171</v>
      </c>
    </row>
    <row r="75" spans="2:4" ht="15" customHeight="1" thickBot="1" x14ac:dyDescent="0.4">
      <c r="B75" s="29"/>
      <c r="C75" s="132">
        <v>521</v>
      </c>
      <c r="D75" s="98">
        <v>183</v>
      </c>
    </row>
    <row r="76" spans="2:4" ht="15" customHeight="1" thickBot="1" x14ac:dyDescent="0.4"/>
    <row r="77" spans="2:4" ht="15" customHeight="1" x14ac:dyDescent="0.35">
      <c r="B77" s="30" t="s">
        <v>1747</v>
      </c>
      <c r="C77" s="130">
        <v>351</v>
      </c>
      <c r="D77" s="131">
        <v>160</v>
      </c>
    </row>
    <row r="78" spans="2:4" ht="15" customHeight="1" x14ac:dyDescent="0.35">
      <c r="B78" s="28"/>
      <c r="C78" s="12">
        <v>369</v>
      </c>
      <c r="D78" s="96">
        <v>153</v>
      </c>
    </row>
    <row r="79" spans="2:4" ht="15" customHeight="1" x14ac:dyDescent="0.35">
      <c r="B79" s="28"/>
      <c r="C79" s="12">
        <v>374</v>
      </c>
      <c r="D79" s="96">
        <v>155</v>
      </c>
    </row>
    <row r="80" spans="2:4" ht="15" customHeight="1" x14ac:dyDescent="0.35">
      <c r="B80" s="28"/>
      <c r="C80" s="12">
        <v>382</v>
      </c>
      <c r="D80" s="96">
        <v>164</v>
      </c>
    </row>
    <row r="81" spans="2:4" ht="15" customHeight="1" x14ac:dyDescent="0.35">
      <c r="B81" s="28"/>
      <c r="C81" s="12">
        <v>383</v>
      </c>
      <c r="D81" s="96">
        <v>157</v>
      </c>
    </row>
    <row r="82" spans="2:4" ht="15" customHeight="1" x14ac:dyDescent="0.35">
      <c r="B82" s="28"/>
      <c r="C82" s="12">
        <v>387</v>
      </c>
      <c r="D82" s="96">
        <v>156</v>
      </c>
    </row>
    <row r="83" spans="2:4" ht="15" customHeight="1" x14ac:dyDescent="0.35">
      <c r="B83" s="28"/>
      <c r="C83" s="12">
        <v>396</v>
      </c>
      <c r="D83" s="96">
        <v>176</v>
      </c>
    </row>
    <row r="84" spans="2:4" ht="15" customHeight="1" x14ac:dyDescent="0.35">
      <c r="B84" s="28"/>
      <c r="C84" s="12">
        <v>406</v>
      </c>
      <c r="D84" s="96">
        <v>165</v>
      </c>
    </row>
    <row r="85" spans="2:4" ht="15" customHeight="1" thickBot="1" x14ac:dyDescent="0.4">
      <c r="B85" s="29"/>
      <c r="C85" s="132">
        <v>414</v>
      </c>
      <c r="D85" s="98">
        <v>167</v>
      </c>
    </row>
    <row r="86" spans="2:4" ht="15" customHeight="1" thickBot="1" x14ac:dyDescent="0.4"/>
    <row r="87" spans="2:4" ht="15" customHeight="1" x14ac:dyDescent="0.35">
      <c r="B87" s="30" t="s">
        <v>1748</v>
      </c>
      <c r="C87" s="130">
        <v>527</v>
      </c>
      <c r="D87" s="131">
        <v>254</v>
      </c>
    </row>
    <row r="88" spans="2:4" ht="15" customHeight="1" x14ac:dyDescent="0.35">
      <c r="B88" s="28"/>
      <c r="C88" s="12">
        <v>594</v>
      </c>
      <c r="D88" s="96">
        <v>270</v>
      </c>
    </row>
    <row r="89" spans="2:4" ht="15" customHeight="1" x14ac:dyDescent="0.35">
      <c r="B89" s="28"/>
      <c r="C89" s="12">
        <v>595</v>
      </c>
      <c r="D89" s="96">
        <v>312</v>
      </c>
    </row>
    <row r="90" spans="2:4" ht="15" customHeight="1" x14ac:dyDescent="0.35">
      <c r="B90" s="28"/>
      <c r="C90" s="12">
        <v>626</v>
      </c>
      <c r="D90" s="96">
        <v>285</v>
      </c>
    </row>
    <row r="91" spans="2:4" ht="15" customHeight="1" x14ac:dyDescent="0.35">
      <c r="B91" s="28"/>
      <c r="C91" s="12">
        <v>626</v>
      </c>
      <c r="D91" s="96">
        <v>285</v>
      </c>
    </row>
    <row r="92" spans="2:4" ht="15" customHeight="1" x14ac:dyDescent="0.35">
      <c r="B92" s="28"/>
      <c r="C92" s="12">
        <v>628</v>
      </c>
      <c r="D92" s="96">
        <v>291</v>
      </c>
    </row>
    <row r="93" spans="2:4" ht="15" customHeight="1" x14ac:dyDescent="0.35">
      <c r="B93" s="28"/>
      <c r="C93" s="12">
        <v>655</v>
      </c>
      <c r="D93" s="96">
        <v>318</v>
      </c>
    </row>
    <row r="94" spans="2:4" ht="15" customHeight="1" x14ac:dyDescent="0.35">
      <c r="B94" s="28"/>
      <c r="C94" s="12">
        <v>710</v>
      </c>
      <c r="D94" s="96">
        <v>307</v>
      </c>
    </row>
    <row r="95" spans="2:4" ht="15" customHeight="1" x14ac:dyDescent="0.35">
      <c r="B95" s="28"/>
      <c r="C95" s="12">
        <v>783</v>
      </c>
      <c r="D95" s="96">
        <v>404</v>
      </c>
    </row>
    <row r="96" spans="2:4" ht="15" customHeight="1" x14ac:dyDescent="0.35">
      <c r="B96" s="28"/>
      <c r="C96" s="12">
        <v>735</v>
      </c>
      <c r="D96" s="96">
        <v>348</v>
      </c>
    </row>
    <row r="97" spans="2:4" ht="15" customHeight="1" x14ac:dyDescent="0.35">
      <c r="B97" s="28"/>
      <c r="C97" s="12">
        <v>742</v>
      </c>
      <c r="D97" s="96">
        <v>352</v>
      </c>
    </row>
    <row r="98" spans="2:4" ht="15" customHeight="1" x14ac:dyDescent="0.35">
      <c r="B98" s="28"/>
      <c r="C98" s="12">
        <v>748</v>
      </c>
      <c r="D98" s="96">
        <v>354</v>
      </c>
    </row>
    <row r="99" spans="2:4" ht="15" customHeight="1" thickBot="1" x14ac:dyDescent="0.4">
      <c r="B99" s="29"/>
      <c r="C99" s="132">
        <v>749</v>
      </c>
      <c r="D99" s="98">
        <v>353</v>
      </c>
    </row>
    <row r="100" spans="2:4" ht="15" customHeight="1" thickBot="1" x14ac:dyDescent="0.4"/>
    <row r="101" spans="2:4" ht="15" customHeight="1" x14ac:dyDescent="0.35">
      <c r="B101" s="30" t="s">
        <v>1749</v>
      </c>
      <c r="C101" s="130">
        <v>614</v>
      </c>
      <c r="D101" s="131">
        <v>290</v>
      </c>
    </row>
    <row r="102" spans="2:4" ht="15" customHeight="1" x14ac:dyDescent="0.35">
      <c r="B102" s="28"/>
      <c r="C102" s="12">
        <v>617</v>
      </c>
      <c r="D102" s="96">
        <v>290</v>
      </c>
    </row>
    <row r="103" spans="2:4" ht="15" customHeight="1" x14ac:dyDescent="0.35">
      <c r="B103" s="28"/>
      <c r="C103" s="12">
        <v>625</v>
      </c>
      <c r="D103" s="96">
        <v>291</v>
      </c>
    </row>
    <row r="104" spans="2:4" ht="15" customHeight="1" x14ac:dyDescent="0.35">
      <c r="B104" s="28"/>
      <c r="C104" s="12">
        <v>631</v>
      </c>
      <c r="D104" s="96">
        <v>300</v>
      </c>
    </row>
    <row r="105" spans="2:4" ht="15" customHeight="1" x14ac:dyDescent="0.35">
      <c r="B105" s="28"/>
      <c r="C105" s="12">
        <v>652</v>
      </c>
      <c r="D105" s="96">
        <v>320</v>
      </c>
    </row>
    <row r="106" spans="2:4" ht="15" customHeight="1" x14ac:dyDescent="0.35">
      <c r="B106" s="28"/>
      <c r="C106" s="12">
        <v>677</v>
      </c>
      <c r="D106" s="96">
        <v>352</v>
      </c>
    </row>
    <row r="107" spans="2:4" ht="15" customHeight="1" x14ac:dyDescent="0.35">
      <c r="B107" s="28"/>
      <c r="C107" s="12">
        <v>678</v>
      </c>
      <c r="D107" s="96">
        <v>321</v>
      </c>
    </row>
    <row r="108" spans="2:4" ht="15" customHeight="1" x14ac:dyDescent="0.35">
      <c r="B108" s="28"/>
      <c r="C108" s="12">
        <v>687</v>
      </c>
      <c r="D108" s="96">
        <v>342</v>
      </c>
    </row>
    <row r="109" spans="2:4" ht="15" customHeight="1" x14ac:dyDescent="0.35">
      <c r="B109" s="28"/>
      <c r="C109" s="12">
        <v>690</v>
      </c>
      <c r="D109" s="96">
        <v>304</v>
      </c>
    </row>
    <row r="110" spans="2:4" ht="15" customHeight="1" x14ac:dyDescent="0.35">
      <c r="B110" s="28"/>
      <c r="C110" s="12">
        <v>698</v>
      </c>
      <c r="D110" s="96">
        <v>369</v>
      </c>
    </row>
    <row r="111" spans="2:4" ht="15" customHeight="1" x14ac:dyDescent="0.35">
      <c r="B111" s="28"/>
      <c r="C111" s="12">
        <v>719</v>
      </c>
      <c r="D111" s="96">
        <v>365</v>
      </c>
    </row>
    <row r="112" spans="2:4" ht="15" customHeight="1" x14ac:dyDescent="0.35">
      <c r="B112" s="28"/>
      <c r="C112" s="12">
        <v>741</v>
      </c>
      <c r="D112" s="96">
        <v>386</v>
      </c>
    </row>
    <row r="113" spans="2:4" ht="15" customHeight="1" x14ac:dyDescent="0.35">
      <c r="B113" s="28"/>
      <c r="C113" s="12">
        <v>765</v>
      </c>
      <c r="D113" s="96">
        <v>390</v>
      </c>
    </row>
    <row r="114" spans="2:4" ht="15" customHeight="1" x14ac:dyDescent="0.35">
      <c r="B114" s="28"/>
      <c r="C114" s="12">
        <v>772</v>
      </c>
      <c r="D114" s="96">
        <v>383</v>
      </c>
    </row>
    <row r="115" spans="2:4" ht="15" customHeight="1" x14ac:dyDescent="0.35">
      <c r="B115" s="28"/>
      <c r="C115" s="12">
        <v>805</v>
      </c>
      <c r="D115" s="96">
        <v>374</v>
      </c>
    </row>
    <row r="116" spans="2:4" ht="15" customHeight="1" thickBot="1" x14ac:dyDescent="0.4">
      <c r="B116" s="29"/>
      <c r="C116" s="132">
        <v>817</v>
      </c>
      <c r="D116" s="98">
        <v>428</v>
      </c>
    </row>
    <row r="117" spans="2:4" ht="15" customHeight="1" thickBot="1" x14ac:dyDescent="0.4"/>
    <row r="118" spans="2:4" ht="15" customHeight="1" x14ac:dyDescent="0.35">
      <c r="B118" s="30" t="s">
        <v>1750</v>
      </c>
      <c r="C118" s="130">
        <v>558</v>
      </c>
      <c r="D118" s="131">
        <v>285</v>
      </c>
    </row>
    <row r="119" spans="2:4" ht="15" customHeight="1" x14ac:dyDescent="0.35">
      <c r="B119" s="28"/>
      <c r="C119" s="12">
        <v>635</v>
      </c>
      <c r="D119" s="96">
        <v>315</v>
      </c>
    </row>
    <row r="120" spans="2:4" ht="15" customHeight="1" x14ac:dyDescent="0.35">
      <c r="B120" s="28"/>
      <c r="C120" s="12">
        <v>645</v>
      </c>
      <c r="D120" s="96">
        <v>332</v>
      </c>
    </row>
    <row r="121" spans="2:4" ht="15" customHeight="1" x14ac:dyDescent="0.35">
      <c r="B121" s="28"/>
      <c r="C121" s="12">
        <v>781</v>
      </c>
      <c r="D121" s="96">
        <v>417</v>
      </c>
    </row>
    <row r="122" spans="2:4" ht="15" customHeight="1" x14ac:dyDescent="0.35">
      <c r="B122" s="28"/>
      <c r="C122" s="12">
        <v>791</v>
      </c>
      <c r="D122" s="96">
        <v>401</v>
      </c>
    </row>
    <row r="123" spans="2:4" ht="15" customHeight="1" x14ac:dyDescent="0.35">
      <c r="B123" s="28"/>
      <c r="C123" s="12">
        <v>821</v>
      </c>
      <c r="D123" s="96">
        <v>419</v>
      </c>
    </row>
    <row r="124" spans="2:4" ht="15" customHeight="1" thickBot="1" x14ac:dyDescent="0.4">
      <c r="B124" s="29"/>
      <c r="C124" s="132">
        <v>944</v>
      </c>
      <c r="D124" s="98">
        <v>525</v>
      </c>
    </row>
    <row r="125" spans="2:4" ht="15" customHeight="1" thickBot="1" x14ac:dyDescent="0.4"/>
    <row r="126" spans="2:4" ht="15" customHeight="1" x14ac:dyDescent="0.35">
      <c r="B126" s="30" t="s">
        <v>1647</v>
      </c>
      <c r="C126" s="130">
        <v>606</v>
      </c>
      <c r="D126" s="131">
        <v>292</v>
      </c>
    </row>
    <row r="127" spans="2:4" ht="15" customHeight="1" x14ac:dyDescent="0.35">
      <c r="B127" s="28"/>
      <c r="C127" s="12">
        <v>612</v>
      </c>
      <c r="D127" s="96">
        <v>297</v>
      </c>
    </row>
    <row r="128" spans="2:4" ht="15" customHeight="1" x14ac:dyDescent="0.35">
      <c r="B128" s="28"/>
      <c r="C128" s="12">
        <v>621</v>
      </c>
      <c r="D128" s="96">
        <v>299</v>
      </c>
    </row>
    <row r="129" spans="2:4" ht="15" customHeight="1" x14ac:dyDescent="0.35">
      <c r="B129" s="28"/>
      <c r="C129" s="12">
        <v>634</v>
      </c>
      <c r="D129" s="96">
        <v>303</v>
      </c>
    </row>
    <row r="130" spans="2:4" ht="15" customHeight="1" thickBot="1" x14ac:dyDescent="0.4">
      <c r="B130" s="29"/>
      <c r="C130" s="132">
        <v>639</v>
      </c>
      <c r="D130" s="98">
        <v>306</v>
      </c>
    </row>
    <row r="131" spans="2:4" ht="15" customHeight="1" thickBot="1" x14ac:dyDescent="0.4"/>
    <row r="132" spans="2:4" ht="15" customHeight="1" x14ac:dyDescent="0.35">
      <c r="B132" s="30" t="s">
        <v>1751</v>
      </c>
      <c r="C132" s="130">
        <v>537</v>
      </c>
      <c r="D132" s="131">
        <v>207</v>
      </c>
    </row>
    <row r="133" spans="2:4" ht="15" customHeight="1" x14ac:dyDescent="0.35">
      <c r="B133" s="28"/>
      <c r="C133" s="12">
        <v>544</v>
      </c>
      <c r="D133" s="96">
        <v>245</v>
      </c>
    </row>
    <row r="134" spans="2:4" ht="15" customHeight="1" x14ac:dyDescent="0.35">
      <c r="B134" s="28"/>
      <c r="C134" s="12">
        <v>557</v>
      </c>
      <c r="D134" s="96">
        <v>228</v>
      </c>
    </row>
    <row r="135" spans="2:4" ht="15" customHeight="1" x14ac:dyDescent="0.35">
      <c r="B135" s="28"/>
      <c r="C135" s="12">
        <v>570</v>
      </c>
      <c r="D135" s="96">
        <v>218</v>
      </c>
    </row>
    <row r="136" spans="2:4" ht="15" customHeight="1" x14ac:dyDescent="0.35">
      <c r="B136" s="28"/>
      <c r="C136" s="12">
        <v>624</v>
      </c>
      <c r="D136" s="96">
        <v>290</v>
      </c>
    </row>
    <row r="137" spans="2:4" ht="15" customHeight="1" x14ac:dyDescent="0.35">
      <c r="B137" s="28"/>
      <c r="C137" s="12">
        <v>627</v>
      </c>
      <c r="D137" s="96">
        <v>317</v>
      </c>
    </row>
    <row r="138" spans="2:4" ht="15" customHeight="1" x14ac:dyDescent="0.35">
      <c r="B138" s="28"/>
      <c r="C138" s="12">
        <v>714</v>
      </c>
      <c r="D138" s="96">
        <v>290</v>
      </c>
    </row>
    <row r="139" spans="2:4" ht="15" customHeight="1" x14ac:dyDescent="0.35">
      <c r="B139" s="28"/>
      <c r="C139" s="12">
        <v>812</v>
      </c>
      <c r="D139" s="96">
        <v>477</v>
      </c>
    </row>
    <row r="140" spans="2:4" ht="15" customHeight="1" x14ac:dyDescent="0.35">
      <c r="B140" s="28"/>
      <c r="C140" s="12">
        <v>869</v>
      </c>
      <c r="D140" s="96">
        <v>368</v>
      </c>
    </row>
    <row r="141" spans="2:4" ht="15" customHeight="1" thickBot="1" x14ac:dyDescent="0.4">
      <c r="B141" s="29"/>
      <c r="C141" s="132">
        <v>736</v>
      </c>
      <c r="D141" s="98">
        <v>348</v>
      </c>
    </row>
    <row r="142" spans="2:4" ht="15" customHeight="1" thickBot="1" x14ac:dyDescent="0.4"/>
    <row r="143" spans="2:4" ht="15" customHeight="1" x14ac:dyDescent="0.35">
      <c r="B143" s="30" t="s">
        <v>1752</v>
      </c>
      <c r="C143" s="130">
        <v>399</v>
      </c>
      <c r="D143" s="131">
        <v>206</v>
      </c>
    </row>
    <row r="144" spans="2:4" ht="15" customHeight="1" x14ac:dyDescent="0.35">
      <c r="B144" s="28"/>
      <c r="C144" s="12">
        <v>418</v>
      </c>
      <c r="D144" s="96">
        <v>211</v>
      </c>
    </row>
    <row r="145" spans="2:4" ht="15" customHeight="1" x14ac:dyDescent="0.35">
      <c r="B145" s="28"/>
      <c r="C145" s="12">
        <v>437</v>
      </c>
      <c r="D145" s="96">
        <v>189</v>
      </c>
    </row>
    <row r="146" spans="2:4" ht="15" customHeight="1" x14ac:dyDescent="0.35">
      <c r="B146" s="28"/>
      <c r="C146" s="12">
        <v>470</v>
      </c>
      <c r="D146" s="96">
        <v>283</v>
      </c>
    </row>
    <row r="147" spans="2:4" ht="15" customHeight="1" x14ac:dyDescent="0.35">
      <c r="B147" s="28"/>
      <c r="C147" s="12">
        <v>544</v>
      </c>
      <c r="D147" s="96">
        <v>156</v>
      </c>
    </row>
    <row r="148" spans="2:4" ht="15" customHeight="1" thickBot="1" x14ac:dyDescent="0.4">
      <c r="B148" s="29"/>
      <c r="C148" s="132">
        <v>576</v>
      </c>
      <c r="D148" s="98">
        <v>322</v>
      </c>
    </row>
    <row r="149" spans="2:4" ht="15" customHeight="1" thickBot="1" x14ac:dyDescent="0.4"/>
    <row r="150" spans="2:4" ht="15" customHeight="1" x14ac:dyDescent="0.35">
      <c r="B150" s="30" t="s">
        <v>1649</v>
      </c>
      <c r="C150" s="130">
        <v>628</v>
      </c>
      <c r="D150" s="131">
        <v>338</v>
      </c>
    </row>
    <row r="151" spans="2:4" ht="15" customHeight="1" x14ac:dyDescent="0.35">
      <c r="B151" s="28"/>
      <c r="C151" s="12">
        <v>636</v>
      </c>
      <c r="D151" s="96">
        <v>342</v>
      </c>
    </row>
    <row r="152" spans="2:4" ht="15" customHeight="1" x14ac:dyDescent="0.35">
      <c r="B152" s="28"/>
      <c r="C152" s="12">
        <v>662</v>
      </c>
      <c r="D152" s="96">
        <v>356</v>
      </c>
    </row>
    <row r="153" spans="2:4" ht="15" customHeight="1" x14ac:dyDescent="0.35">
      <c r="B153" s="28"/>
      <c r="C153" s="12">
        <v>705</v>
      </c>
      <c r="D153" s="96">
        <v>389</v>
      </c>
    </row>
    <row r="154" spans="2:4" ht="15" customHeight="1" x14ac:dyDescent="0.35">
      <c r="B154" s="28"/>
      <c r="C154" s="12">
        <v>748</v>
      </c>
      <c r="D154" s="96">
        <v>412</v>
      </c>
    </row>
    <row r="155" spans="2:4" ht="15" customHeight="1" x14ac:dyDescent="0.35">
      <c r="B155" s="28"/>
      <c r="C155" s="12">
        <v>792</v>
      </c>
      <c r="D155" s="96">
        <v>428</v>
      </c>
    </row>
    <row r="156" spans="2:4" ht="15" customHeight="1" x14ac:dyDescent="0.35">
      <c r="B156" s="28"/>
      <c r="C156" s="12">
        <v>823</v>
      </c>
      <c r="D156" s="96">
        <v>441</v>
      </c>
    </row>
    <row r="157" spans="2:4" ht="15" customHeight="1" thickBot="1" x14ac:dyDescent="0.4">
      <c r="B157" s="29"/>
      <c r="C157" s="132">
        <v>836</v>
      </c>
      <c r="D157" s="98">
        <v>447</v>
      </c>
    </row>
    <row r="158" spans="2:4" ht="15" customHeight="1" thickBot="1" x14ac:dyDescent="0.4"/>
    <row r="159" spans="2:4" ht="15" customHeight="1" x14ac:dyDescent="0.35">
      <c r="B159" s="30" t="s">
        <v>1753</v>
      </c>
      <c r="C159" s="130">
        <v>683</v>
      </c>
      <c r="D159" s="131">
        <v>330</v>
      </c>
    </row>
    <row r="160" spans="2:4" ht="15" customHeight="1" x14ac:dyDescent="0.35">
      <c r="B160" s="28"/>
      <c r="C160" s="12">
        <v>684</v>
      </c>
      <c r="D160" s="96">
        <v>360</v>
      </c>
    </row>
    <row r="161" spans="2:4" ht="15" customHeight="1" x14ac:dyDescent="0.35">
      <c r="B161" s="28"/>
      <c r="C161" s="12">
        <v>703</v>
      </c>
      <c r="D161" s="96">
        <v>353</v>
      </c>
    </row>
    <row r="162" spans="2:4" ht="15" customHeight="1" x14ac:dyDescent="0.35">
      <c r="B162" s="28"/>
      <c r="C162" s="12">
        <v>724</v>
      </c>
      <c r="D162" s="96">
        <v>350</v>
      </c>
    </row>
    <row r="163" spans="2:4" ht="15" customHeight="1" x14ac:dyDescent="0.35">
      <c r="B163" s="28"/>
      <c r="C163" s="12">
        <v>725</v>
      </c>
      <c r="D163" s="96">
        <v>380</v>
      </c>
    </row>
    <row r="164" spans="2:4" ht="15" customHeight="1" x14ac:dyDescent="0.35">
      <c r="B164" s="28"/>
      <c r="C164" s="12">
        <v>727</v>
      </c>
      <c r="D164" s="96">
        <v>380</v>
      </c>
    </row>
    <row r="165" spans="2:4" ht="15" customHeight="1" x14ac:dyDescent="0.35">
      <c r="B165" s="28"/>
      <c r="C165" s="12">
        <v>731</v>
      </c>
      <c r="D165" s="96">
        <v>401</v>
      </c>
    </row>
    <row r="166" spans="2:4" ht="15" customHeight="1" x14ac:dyDescent="0.35">
      <c r="B166" s="28"/>
      <c r="C166" s="12">
        <v>739</v>
      </c>
      <c r="D166" s="96">
        <v>394</v>
      </c>
    </row>
    <row r="167" spans="2:4" ht="15" customHeight="1" x14ac:dyDescent="0.35">
      <c r="B167" s="28"/>
      <c r="C167" s="12">
        <v>742</v>
      </c>
      <c r="D167" s="96">
        <v>369</v>
      </c>
    </row>
    <row r="168" spans="2:4" ht="15" customHeight="1" x14ac:dyDescent="0.35">
      <c r="B168" s="28"/>
      <c r="C168" s="12">
        <v>747</v>
      </c>
      <c r="D168" s="96">
        <v>382</v>
      </c>
    </row>
    <row r="169" spans="2:4" ht="15" customHeight="1" x14ac:dyDescent="0.35">
      <c r="B169" s="28"/>
      <c r="C169" s="12">
        <v>757</v>
      </c>
      <c r="D169" s="96">
        <v>353</v>
      </c>
    </row>
    <row r="170" spans="2:4" ht="15" customHeight="1" x14ac:dyDescent="0.35">
      <c r="B170" s="28"/>
      <c r="C170" s="12">
        <v>762</v>
      </c>
      <c r="D170" s="96">
        <v>394</v>
      </c>
    </row>
    <row r="171" spans="2:4" ht="15" customHeight="1" x14ac:dyDescent="0.35">
      <c r="B171" s="28"/>
      <c r="C171" s="12">
        <v>771</v>
      </c>
      <c r="D171" s="96">
        <v>438</v>
      </c>
    </row>
    <row r="172" spans="2:4" ht="15" customHeight="1" x14ac:dyDescent="0.35">
      <c r="B172" s="28"/>
      <c r="C172" s="12">
        <v>773</v>
      </c>
      <c r="D172" s="96">
        <v>378</v>
      </c>
    </row>
    <row r="173" spans="2:4" ht="15" customHeight="1" x14ac:dyDescent="0.35">
      <c r="B173" s="28"/>
      <c r="C173" s="12">
        <v>781</v>
      </c>
      <c r="D173" s="96">
        <v>385</v>
      </c>
    </row>
    <row r="174" spans="2:4" ht="15" customHeight="1" x14ac:dyDescent="0.35">
      <c r="B174" s="28"/>
      <c r="C174" s="12">
        <v>787</v>
      </c>
      <c r="D174" s="96">
        <v>402</v>
      </c>
    </row>
    <row r="175" spans="2:4" ht="15" customHeight="1" x14ac:dyDescent="0.35">
      <c r="B175" s="28"/>
      <c r="C175" s="12">
        <v>788</v>
      </c>
      <c r="D175" s="96">
        <v>373</v>
      </c>
    </row>
    <row r="176" spans="2:4" ht="15" customHeight="1" x14ac:dyDescent="0.35">
      <c r="B176" s="28"/>
      <c r="C176" s="12">
        <v>800</v>
      </c>
      <c r="D176" s="96">
        <v>401</v>
      </c>
    </row>
    <row r="177" spans="2:4" ht="15" customHeight="1" thickBot="1" x14ac:dyDescent="0.4">
      <c r="B177" s="29"/>
      <c r="C177" s="132">
        <v>820</v>
      </c>
      <c r="D177" s="98">
        <v>400</v>
      </c>
    </row>
    <row r="178" spans="2:4" ht="15" customHeight="1" thickBot="1" x14ac:dyDescent="0.4"/>
    <row r="179" spans="2:4" ht="15" customHeight="1" x14ac:dyDescent="0.35">
      <c r="B179" s="30" t="s">
        <v>1754</v>
      </c>
      <c r="C179" s="130">
        <v>564</v>
      </c>
      <c r="D179" s="131">
        <v>358</v>
      </c>
    </row>
    <row r="180" spans="2:4" ht="15" customHeight="1" x14ac:dyDescent="0.35">
      <c r="B180" s="28"/>
      <c r="C180" s="12">
        <v>650</v>
      </c>
      <c r="D180" s="96">
        <v>363</v>
      </c>
    </row>
    <row r="181" spans="2:4" ht="15" customHeight="1" x14ac:dyDescent="0.35">
      <c r="B181" s="28"/>
      <c r="C181" s="12">
        <v>741</v>
      </c>
      <c r="D181" s="96">
        <v>472</v>
      </c>
    </row>
    <row r="182" spans="2:4" ht="15" customHeight="1" x14ac:dyDescent="0.35">
      <c r="B182" s="28"/>
      <c r="C182" s="12">
        <v>486</v>
      </c>
      <c r="D182" s="96">
        <v>314</v>
      </c>
    </row>
    <row r="183" spans="2:4" ht="15" customHeight="1" x14ac:dyDescent="0.35">
      <c r="B183" s="28"/>
      <c r="C183" s="12">
        <v>495</v>
      </c>
      <c r="D183" s="96">
        <v>319</v>
      </c>
    </row>
    <row r="184" spans="2:4" ht="15" customHeight="1" x14ac:dyDescent="0.35">
      <c r="B184" s="28"/>
      <c r="C184" s="12">
        <v>503</v>
      </c>
      <c r="D184" s="96">
        <v>323</v>
      </c>
    </row>
    <row r="185" spans="2:4" ht="15" customHeight="1" x14ac:dyDescent="0.35">
      <c r="B185" s="28"/>
      <c r="C185" s="12">
        <v>512</v>
      </c>
      <c r="D185" s="96">
        <v>327</v>
      </c>
    </row>
    <row r="186" spans="2:4" ht="15" customHeight="1" x14ac:dyDescent="0.35">
      <c r="B186" s="28"/>
      <c r="C186" s="12">
        <v>520</v>
      </c>
      <c r="D186" s="96">
        <v>332</v>
      </c>
    </row>
    <row r="187" spans="2:4" ht="15" customHeight="1" x14ac:dyDescent="0.35">
      <c r="B187" s="28"/>
      <c r="C187" s="12">
        <v>528</v>
      </c>
      <c r="D187" s="96">
        <v>336</v>
      </c>
    </row>
    <row r="188" spans="2:4" ht="15" customHeight="1" x14ac:dyDescent="0.35">
      <c r="B188" s="28"/>
      <c r="C188" s="12">
        <v>536</v>
      </c>
      <c r="D188" s="96">
        <v>340</v>
      </c>
    </row>
    <row r="189" spans="2:4" ht="15" customHeight="1" x14ac:dyDescent="0.35">
      <c r="B189" s="28"/>
      <c r="C189" s="12">
        <v>544</v>
      </c>
      <c r="D189" s="96">
        <v>344</v>
      </c>
    </row>
    <row r="190" spans="2:4" ht="15" customHeight="1" x14ac:dyDescent="0.35">
      <c r="B190" s="28"/>
      <c r="C190" s="12">
        <v>551</v>
      </c>
      <c r="D190" s="96">
        <v>348</v>
      </c>
    </row>
    <row r="191" spans="2:4" ht="15" customHeight="1" x14ac:dyDescent="0.35">
      <c r="B191" s="28"/>
      <c r="C191" s="12">
        <v>559</v>
      </c>
      <c r="D191" s="96">
        <v>352</v>
      </c>
    </row>
    <row r="192" spans="2:4" ht="15" customHeight="1" x14ac:dyDescent="0.35">
      <c r="B192" s="28"/>
      <c r="C192" s="12">
        <v>568</v>
      </c>
      <c r="D192" s="96">
        <v>356</v>
      </c>
    </row>
    <row r="193" spans="2:4" ht="15" customHeight="1" x14ac:dyDescent="0.35">
      <c r="B193" s="28"/>
      <c r="C193" s="12">
        <v>576</v>
      </c>
      <c r="D193" s="96">
        <v>360</v>
      </c>
    </row>
    <row r="194" spans="2:4" ht="15" customHeight="1" x14ac:dyDescent="0.35">
      <c r="B194" s="28"/>
      <c r="C194" s="12">
        <v>584</v>
      </c>
      <c r="D194" s="96">
        <v>365</v>
      </c>
    </row>
    <row r="195" spans="2:4" ht="15" customHeight="1" x14ac:dyDescent="0.35">
      <c r="B195" s="28"/>
      <c r="C195" s="12">
        <v>592</v>
      </c>
      <c r="D195" s="96">
        <v>369</v>
      </c>
    </row>
    <row r="196" spans="2:4" ht="15" customHeight="1" x14ac:dyDescent="0.35">
      <c r="B196" s="28"/>
      <c r="C196" s="12">
        <v>600</v>
      </c>
      <c r="D196" s="96">
        <v>373</v>
      </c>
    </row>
    <row r="197" spans="2:4" ht="15" customHeight="1" x14ac:dyDescent="0.35">
      <c r="B197" s="28"/>
      <c r="C197" s="12">
        <v>608</v>
      </c>
      <c r="D197" s="96">
        <v>377</v>
      </c>
    </row>
    <row r="198" spans="2:4" ht="15" customHeight="1" x14ac:dyDescent="0.35">
      <c r="B198" s="28"/>
      <c r="C198" s="12">
        <v>616</v>
      </c>
      <c r="D198" s="96">
        <v>381</v>
      </c>
    </row>
    <row r="199" spans="2:4" ht="15" customHeight="1" x14ac:dyDescent="0.35">
      <c r="B199" s="28"/>
      <c r="C199" s="12">
        <v>624</v>
      </c>
      <c r="D199" s="96">
        <v>385</v>
      </c>
    </row>
    <row r="200" spans="2:4" ht="15" customHeight="1" x14ac:dyDescent="0.35">
      <c r="B200" s="28"/>
      <c r="C200" s="12">
        <v>632</v>
      </c>
      <c r="D200" s="96">
        <v>389</v>
      </c>
    </row>
    <row r="201" spans="2:4" ht="15" customHeight="1" x14ac:dyDescent="0.35">
      <c r="B201" s="28"/>
      <c r="C201" s="12">
        <v>640</v>
      </c>
      <c r="D201" s="96">
        <v>393</v>
      </c>
    </row>
    <row r="202" spans="2:4" ht="15" customHeight="1" x14ac:dyDescent="0.35">
      <c r="B202" s="28"/>
      <c r="C202" s="12">
        <v>648</v>
      </c>
      <c r="D202" s="96">
        <v>397</v>
      </c>
    </row>
    <row r="203" spans="2:4" ht="15" customHeight="1" x14ac:dyDescent="0.35">
      <c r="B203" s="28"/>
      <c r="C203" s="12">
        <v>656</v>
      </c>
      <c r="D203" s="96">
        <v>401</v>
      </c>
    </row>
    <row r="204" spans="2:4" ht="15" customHeight="1" x14ac:dyDescent="0.35">
      <c r="B204" s="28"/>
      <c r="C204" s="12">
        <v>664</v>
      </c>
      <c r="D204" s="96">
        <v>405</v>
      </c>
    </row>
    <row r="205" spans="2:4" ht="15" customHeight="1" x14ac:dyDescent="0.35">
      <c r="B205" s="28"/>
      <c r="C205" s="12">
        <v>672</v>
      </c>
      <c r="D205" s="96">
        <v>409</v>
      </c>
    </row>
    <row r="206" spans="2:4" ht="15" customHeight="1" x14ac:dyDescent="0.35">
      <c r="B206" s="28"/>
      <c r="C206" s="12">
        <v>680</v>
      </c>
      <c r="D206" s="96">
        <v>412</v>
      </c>
    </row>
    <row r="207" spans="2:4" ht="15" customHeight="1" x14ac:dyDescent="0.35">
      <c r="B207" s="28"/>
      <c r="C207" s="12">
        <v>688</v>
      </c>
      <c r="D207" s="96">
        <v>414</v>
      </c>
    </row>
    <row r="208" spans="2:4" ht="15" customHeight="1" x14ac:dyDescent="0.35">
      <c r="B208" s="28"/>
      <c r="C208" s="12">
        <v>696</v>
      </c>
      <c r="D208" s="96">
        <v>410</v>
      </c>
    </row>
    <row r="209" spans="2:4" ht="15" customHeight="1" x14ac:dyDescent="0.35">
      <c r="B209" s="28"/>
      <c r="C209" s="12">
        <v>702</v>
      </c>
      <c r="D209" s="96">
        <v>406</v>
      </c>
    </row>
    <row r="210" spans="2:4" ht="15" customHeight="1" x14ac:dyDescent="0.35">
      <c r="B210" s="28"/>
      <c r="C210" s="12">
        <v>706</v>
      </c>
      <c r="D210" s="96">
        <v>402</v>
      </c>
    </row>
    <row r="211" spans="2:4" ht="15" customHeight="1" thickBot="1" x14ac:dyDescent="0.4">
      <c r="B211" s="29"/>
      <c r="C211" s="132">
        <v>709</v>
      </c>
      <c r="D211" s="98">
        <v>398</v>
      </c>
    </row>
    <row r="212" spans="2:4" ht="15" customHeight="1" thickBot="1" x14ac:dyDescent="0.4"/>
    <row r="213" spans="2:4" ht="15" customHeight="1" x14ac:dyDescent="0.35">
      <c r="B213" s="30" t="s">
        <v>1755</v>
      </c>
      <c r="C213" s="130">
        <v>650</v>
      </c>
      <c r="D213" s="131">
        <v>363</v>
      </c>
    </row>
    <row r="214" spans="2:4" ht="15" customHeight="1" x14ac:dyDescent="0.35">
      <c r="B214" s="28"/>
      <c r="C214" s="12">
        <v>638</v>
      </c>
      <c r="D214" s="96">
        <v>354</v>
      </c>
    </row>
    <row r="215" spans="2:4" ht="15" customHeight="1" x14ac:dyDescent="0.35">
      <c r="B215" s="28"/>
      <c r="C215" s="12">
        <v>642</v>
      </c>
      <c r="D215" s="96">
        <v>358</v>
      </c>
    </row>
    <row r="216" spans="2:4" ht="15" customHeight="1" x14ac:dyDescent="0.35">
      <c r="B216" s="28"/>
      <c r="C216" s="12">
        <v>646</v>
      </c>
      <c r="D216" s="96">
        <v>360</v>
      </c>
    </row>
    <row r="217" spans="2:4" ht="15" customHeight="1" x14ac:dyDescent="0.35">
      <c r="B217" s="28"/>
      <c r="C217" s="12">
        <v>653</v>
      </c>
      <c r="D217" s="96">
        <v>366</v>
      </c>
    </row>
    <row r="218" spans="2:4" ht="15" customHeight="1" x14ac:dyDescent="0.35">
      <c r="B218" s="28"/>
      <c r="C218" s="12">
        <v>659</v>
      </c>
      <c r="D218" s="96">
        <v>371</v>
      </c>
    </row>
    <row r="219" spans="2:4" ht="15" customHeight="1" x14ac:dyDescent="0.35">
      <c r="B219" s="28"/>
      <c r="C219" s="12">
        <v>664</v>
      </c>
      <c r="D219" s="96">
        <v>374</v>
      </c>
    </row>
    <row r="220" spans="2:4" ht="15" customHeight="1" thickBot="1" x14ac:dyDescent="0.4">
      <c r="B220" s="29"/>
      <c r="C220" s="132">
        <v>671</v>
      </c>
      <c r="D220" s="98">
        <v>379</v>
      </c>
    </row>
    <row r="221" spans="2:4" ht="15" customHeight="1" thickBot="1" x14ac:dyDescent="0.4"/>
    <row r="222" spans="2:4" ht="15" customHeight="1" x14ac:dyDescent="0.35">
      <c r="B222" s="30" t="s">
        <v>1651</v>
      </c>
      <c r="C222" s="130">
        <v>430</v>
      </c>
      <c r="D222" s="131">
        <v>201</v>
      </c>
    </row>
    <row r="223" spans="2:4" ht="15" customHeight="1" x14ac:dyDescent="0.35">
      <c r="B223" s="28"/>
      <c r="C223" s="12">
        <v>438</v>
      </c>
      <c r="D223" s="96">
        <v>205</v>
      </c>
    </row>
    <row r="224" spans="2:4" ht="15" customHeight="1" x14ac:dyDescent="0.35">
      <c r="B224" s="28"/>
      <c r="C224" s="12">
        <v>445</v>
      </c>
      <c r="D224" s="96">
        <v>209</v>
      </c>
    </row>
    <row r="225" spans="2:4" ht="15" customHeight="1" x14ac:dyDescent="0.35">
      <c r="B225" s="28"/>
      <c r="C225" s="12">
        <v>452</v>
      </c>
      <c r="D225" s="96">
        <v>212</v>
      </c>
    </row>
    <row r="226" spans="2:4" ht="15" customHeight="1" x14ac:dyDescent="0.35">
      <c r="B226" s="28"/>
      <c r="C226" s="12">
        <v>460</v>
      </c>
      <c r="D226" s="96">
        <v>216</v>
      </c>
    </row>
    <row r="227" spans="2:4" ht="15" customHeight="1" x14ac:dyDescent="0.35">
      <c r="B227" s="28"/>
      <c r="C227" s="12">
        <v>462</v>
      </c>
      <c r="D227" s="96">
        <v>218</v>
      </c>
    </row>
    <row r="228" spans="2:4" ht="15" customHeight="1" x14ac:dyDescent="0.35">
      <c r="B228" s="28"/>
      <c r="C228" s="12">
        <v>464</v>
      </c>
      <c r="D228" s="96">
        <v>220</v>
      </c>
    </row>
    <row r="229" spans="2:4" ht="15" customHeight="1" x14ac:dyDescent="0.35">
      <c r="B229" s="28"/>
      <c r="C229" s="12">
        <v>466</v>
      </c>
      <c r="D229" s="96">
        <v>222</v>
      </c>
    </row>
    <row r="230" spans="2:4" ht="15" customHeight="1" x14ac:dyDescent="0.35">
      <c r="B230" s="28"/>
      <c r="C230" s="12">
        <v>469</v>
      </c>
      <c r="D230" s="96">
        <v>224</v>
      </c>
    </row>
    <row r="231" spans="2:4" ht="15" customHeight="1" x14ac:dyDescent="0.35">
      <c r="B231" s="28"/>
      <c r="C231" s="12">
        <v>474</v>
      </c>
      <c r="D231" s="96">
        <v>227</v>
      </c>
    </row>
    <row r="232" spans="2:4" ht="15" customHeight="1" x14ac:dyDescent="0.35">
      <c r="B232" s="28"/>
      <c r="C232" s="12">
        <v>482</v>
      </c>
      <c r="D232" s="96">
        <v>231</v>
      </c>
    </row>
    <row r="233" spans="2:4" ht="15" customHeight="1" x14ac:dyDescent="0.35">
      <c r="B233" s="28"/>
      <c r="C233" s="12">
        <v>490</v>
      </c>
      <c r="D233" s="96">
        <v>235</v>
      </c>
    </row>
    <row r="234" spans="2:4" ht="15" customHeight="1" x14ac:dyDescent="0.35">
      <c r="B234" s="28"/>
      <c r="C234" s="12">
        <v>500</v>
      </c>
      <c r="D234" s="96">
        <v>240</v>
      </c>
    </row>
    <row r="235" spans="2:4" ht="15" customHeight="1" x14ac:dyDescent="0.35">
      <c r="B235" s="28"/>
      <c r="C235" s="12">
        <v>510</v>
      </c>
      <c r="D235" s="96">
        <v>245</v>
      </c>
    </row>
    <row r="236" spans="2:4" ht="15" customHeight="1" x14ac:dyDescent="0.35">
      <c r="B236" s="28"/>
      <c r="C236" s="12">
        <v>520</v>
      </c>
      <c r="D236" s="96">
        <v>250</v>
      </c>
    </row>
    <row r="237" spans="2:4" ht="15" customHeight="1" x14ac:dyDescent="0.35">
      <c r="B237" s="28"/>
      <c r="C237" s="12">
        <v>532</v>
      </c>
      <c r="D237" s="96">
        <v>256</v>
      </c>
    </row>
    <row r="238" spans="2:4" ht="15" customHeight="1" x14ac:dyDescent="0.35">
      <c r="B238" s="28"/>
      <c r="C238" s="12">
        <v>545</v>
      </c>
      <c r="D238" s="96">
        <v>262</v>
      </c>
    </row>
    <row r="239" spans="2:4" ht="15" customHeight="1" thickBot="1" x14ac:dyDescent="0.4">
      <c r="B239" s="29"/>
      <c r="C239" s="132">
        <v>560</v>
      </c>
      <c r="D239" s="98">
        <v>269</v>
      </c>
    </row>
    <row r="240" spans="2:4" ht="15" customHeight="1" thickBot="1" x14ac:dyDescent="0.4"/>
    <row r="241" spans="2:4" ht="15" customHeight="1" x14ac:dyDescent="0.35">
      <c r="B241" s="30" t="s">
        <v>1756</v>
      </c>
      <c r="C241" s="130">
        <v>496</v>
      </c>
      <c r="D241" s="131">
        <v>238</v>
      </c>
    </row>
    <row r="242" spans="2:4" ht="15" customHeight="1" x14ac:dyDescent="0.35">
      <c r="B242" s="28"/>
      <c r="C242" s="12">
        <v>505</v>
      </c>
      <c r="D242" s="96">
        <v>244</v>
      </c>
    </row>
    <row r="243" spans="2:4" ht="15" customHeight="1" x14ac:dyDescent="0.35">
      <c r="B243" s="28"/>
      <c r="C243" s="12">
        <v>528</v>
      </c>
      <c r="D243" s="96">
        <v>251</v>
      </c>
    </row>
    <row r="244" spans="2:4" ht="15" customHeight="1" x14ac:dyDescent="0.35">
      <c r="B244" s="28"/>
      <c r="C244" s="12">
        <v>556</v>
      </c>
      <c r="D244" s="96">
        <v>267</v>
      </c>
    </row>
    <row r="245" spans="2:4" ht="15" customHeight="1" x14ac:dyDescent="0.35">
      <c r="B245" s="28"/>
      <c r="C245" s="12">
        <v>589</v>
      </c>
      <c r="D245" s="96">
        <v>281</v>
      </c>
    </row>
    <row r="246" spans="2:4" ht="15" customHeight="1" x14ac:dyDescent="0.35">
      <c r="B246" s="28"/>
      <c r="C246" s="12">
        <v>623</v>
      </c>
      <c r="D246" s="96">
        <v>296</v>
      </c>
    </row>
    <row r="247" spans="2:4" ht="15" customHeight="1" thickBot="1" x14ac:dyDescent="0.4">
      <c r="B247" s="29"/>
      <c r="C247" s="132">
        <v>642</v>
      </c>
      <c r="D247" s="98">
        <v>309</v>
      </c>
    </row>
    <row r="248" spans="2:4" ht="15" customHeight="1" thickBot="1" x14ac:dyDescent="0.4"/>
    <row r="249" spans="2:4" ht="15" customHeight="1" x14ac:dyDescent="0.35">
      <c r="B249" s="30" t="s">
        <v>1757</v>
      </c>
      <c r="C249" s="130">
        <v>772</v>
      </c>
      <c r="D249" s="131">
        <v>483</v>
      </c>
    </row>
    <row r="250" spans="2:4" ht="15" customHeight="1" x14ac:dyDescent="0.35">
      <c r="B250" s="28"/>
      <c r="C250" s="12">
        <v>841</v>
      </c>
      <c r="D250" s="96">
        <v>561</v>
      </c>
    </row>
    <row r="251" spans="2:4" ht="15" customHeight="1" x14ac:dyDescent="0.35">
      <c r="B251" s="28"/>
      <c r="C251" s="12">
        <v>886</v>
      </c>
      <c r="D251" s="96">
        <v>489</v>
      </c>
    </row>
    <row r="252" spans="2:4" ht="15" customHeight="1" x14ac:dyDescent="0.35">
      <c r="B252" s="28"/>
      <c r="C252" s="12">
        <v>891</v>
      </c>
      <c r="D252" s="96">
        <v>525</v>
      </c>
    </row>
    <row r="253" spans="2:4" ht="15" customHeight="1" x14ac:dyDescent="0.35">
      <c r="B253" s="28"/>
      <c r="C253" s="12">
        <v>899</v>
      </c>
      <c r="D253" s="96">
        <v>493</v>
      </c>
    </row>
    <row r="254" spans="2:4" ht="15" customHeight="1" x14ac:dyDescent="0.35">
      <c r="B254" s="28"/>
      <c r="C254" s="12">
        <v>922</v>
      </c>
      <c r="D254" s="96">
        <v>466</v>
      </c>
    </row>
    <row r="255" spans="2:4" ht="15" customHeight="1" x14ac:dyDescent="0.35">
      <c r="B255" s="28"/>
      <c r="C255" s="12">
        <v>933</v>
      </c>
      <c r="D255" s="96">
        <v>563</v>
      </c>
    </row>
    <row r="256" spans="2:4" ht="15" customHeight="1" x14ac:dyDescent="0.35">
      <c r="B256" s="28"/>
      <c r="C256" s="12">
        <v>951</v>
      </c>
      <c r="D256" s="96">
        <v>506</v>
      </c>
    </row>
    <row r="257" spans="2:4" ht="15" customHeight="1" thickBot="1" x14ac:dyDescent="0.4">
      <c r="B257" s="29"/>
      <c r="C257" s="132">
        <v>967</v>
      </c>
      <c r="D257" s="98">
        <v>533</v>
      </c>
    </row>
    <row r="258" spans="2:4" ht="15" customHeight="1" thickBot="1" x14ac:dyDescent="0.4"/>
    <row r="259" spans="2:4" ht="15" customHeight="1" x14ac:dyDescent="0.35">
      <c r="B259" s="30" t="s">
        <v>1758</v>
      </c>
      <c r="C259" s="130">
        <v>630</v>
      </c>
      <c r="D259" s="131">
        <v>359</v>
      </c>
    </row>
    <row r="260" spans="2:4" ht="15" customHeight="1" x14ac:dyDescent="0.35">
      <c r="B260" s="28"/>
      <c r="C260" s="12">
        <v>667</v>
      </c>
      <c r="D260" s="96">
        <v>418</v>
      </c>
    </row>
    <row r="261" spans="2:4" ht="15" customHeight="1" x14ac:dyDescent="0.35">
      <c r="B261" s="28"/>
      <c r="C261" s="12">
        <v>689</v>
      </c>
      <c r="D261" s="96">
        <v>440</v>
      </c>
    </row>
    <row r="262" spans="2:4" ht="15" customHeight="1" x14ac:dyDescent="0.35">
      <c r="B262" s="28"/>
      <c r="C262" s="12">
        <v>742</v>
      </c>
      <c r="D262" s="96">
        <v>456</v>
      </c>
    </row>
    <row r="263" spans="2:4" ht="15" customHeight="1" x14ac:dyDescent="0.35">
      <c r="B263" s="28"/>
      <c r="C263" s="12">
        <v>781</v>
      </c>
      <c r="D263" s="96">
        <v>472</v>
      </c>
    </row>
    <row r="264" spans="2:4" ht="15" customHeight="1" x14ac:dyDescent="0.35">
      <c r="B264" s="28"/>
      <c r="C264" s="12">
        <v>835</v>
      </c>
      <c r="D264" s="96">
        <v>489</v>
      </c>
    </row>
    <row r="265" spans="2:4" ht="15" customHeight="1" x14ac:dyDescent="0.35">
      <c r="B265" s="28"/>
      <c r="C265" s="12">
        <v>902</v>
      </c>
      <c r="D265" s="96">
        <v>515</v>
      </c>
    </row>
    <row r="266" spans="2:4" ht="15" customHeight="1" thickBot="1" x14ac:dyDescent="0.4">
      <c r="B266" s="29"/>
      <c r="C266" s="132">
        <v>928</v>
      </c>
      <c r="D266" s="98">
        <v>528</v>
      </c>
    </row>
    <row r="267" spans="2:4" ht="15" customHeight="1" thickBot="1" x14ac:dyDescent="0.4"/>
    <row r="268" spans="2:4" ht="15" customHeight="1" x14ac:dyDescent="0.35">
      <c r="B268" s="30" t="s">
        <v>1759</v>
      </c>
      <c r="C268" s="130">
        <v>318</v>
      </c>
      <c r="D268" s="131">
        <v>181</v>
      </c>
    </row>
    <row r="269" spans="2:4" ht="15" customHeight="1" x14ac:dyDescent="0.35">
      <c r="B269" s="28"/>
      <c r="C269" s="12">
        <v>376</v>
      </c>
      <c r="D269" s="96">
        <v>233</v>
      </c>
    </row>
    <row r="270" spans="2:4" ht="15" customHeight="1" x14ac:dyDescent="0.35">
      <c r="B270" s="28"/>
      <c r="C270" s="12">
        <v>342</v>
      </c>
      <c r="D270" s="96">
        <v>268</v>
      </c>
    </row>
    <row r="271" spans="2:4" ht="15" customHeight="1" x14ac:dyDescent="0.35">
      <c r="B271" s="28"/>
      <c r="C271" s="12">
        <v>401</v>
      </c>
      <c r="D271" s="96">
        <v>296</v>
      </c>
    </row>
    <row r="272" spans="2:4" ht="15" customHeight="1" x14ac:dyDescent="0.35">
      <c r="B272" s="28"/>
      <c r="C272" s="12">
        <v>438</v>
      </c>
      <c r="D272" s="96">
        <v>318</v>
      </c>
    </row>
    <row r="273" spans="2:4" ht="15" customHeight="1" x14ac:dyDescent="0.35">
      <c r="B273" s="28"/>
      <c r="C273" s="12">
        <v>472</v>
      </c>
      <c r="D273" s="96">
        <v>347</v>
      </c>
    </row>
    <row r="274" spans="2:4" ht="15" customHeight="1" x14ac:dyDescent="0.35">
      <c r="B274" s="28"/>
      <c r="C274" s="12">
        <v>521</v>
      </c>
      <c r="D274" s="96">
        <v>381</v>
      </c>
    </row>
    <row r="275" spans="2:4" ht="15" customHeight="1" x14ac:dyDescent="0.35">
      <c r="B275" s="28"/>
      <c r="C275" s="12">
        <v>586</v>
      </c>
      <c r="D275" s="96">
        <v>428</v>
      </c>
    </row>
    <row r="276" spans="2:4" ht="15" customHeight="1" thickBot="1" x14ac:dyDescent="0.4">
      <c r="B276" s="29"/>
      <c r="C276" s="132">
        <v>596</v>
      </c>
      <c r="D276" s="98">
        <v>438</v>
      </c>
    </row>
    <row r="277" spans="2:4" ht="15" customHeight="1" thickBot="1" x14ac:dyDescent="0.4"/>
    <row r="278" spans="2:4" ht="15" customHeight="1" x14ac:dyDescent="0.35">
      <c r="B278" s="30" t="s">
        <v>1760</v>
      </c>
      <c r="C278" s="130">
        <v>378</v>
      </c>
      <c r="D278" s="131">
        <v>215</v>
      </c>
    </row>
    <row r="279" spans="2:4" ht="15" customHeight="1" x14ac:dyDescent="0.35">
      <c r="B279" s="28"/>
      <c r="C279" s="12">
        <v>379</v>
      </c>
      <c r="D279" s="96">
        <v>227</v>
      </c>
    </row>
    <row r="280" spans="2:4" ht="15" customHeight="1" x14ac:dyDescent="0.35">
      <c r="B280" s="28"/>
      <c r="C280" s="12">
        <v>551</v>
      </c>
      <c r="D280" s="96">
        <v>301</v>
      </c>
    </row>
    <row r="281" spans="2:4" ht="15" customHeight="1" x14ac:dyDescent="0.35">
      <c r="B281" s="28"/>
      <c r="C281" s="12">
        <v>570</v>
      </c>
      <c r="D281" s="96">
        <v>334</v>
      </c>
    </row>
    <row r="282" spans="2:4" ht="15" customHeight="1" x14ac:dyDescent="0.35">
      <c r="B282" s="28"/>
      <c r="C282" s="12">
        <v>428</v>
      </c>
      <c r="D282" s="96">
        <v>267</v>
      </c>
    </row>
    <row r="283" spans="2:4" ht="15" customHeight="1" x14ac:dyDescent="0.35">
      <c r="B283" s="28"/>
      <c r="C283" s="12">
        <v>446</v>
      </c>
      <c r="D283" s="96">
        <v>274</v>
      </c>
    </row>
    <row r="284" spans="2:4" ht="15" customHeight="1" x14ac:dyDescent="0.35">
      <c r="B284" s="28"/>
      <c r="C284" s="12">
        <v>468</v>
      </c>
      <c r="D284" s="96">
        <v>281</v>
      </c>
    </row>
    <row r="285" spans="2:4" ht="15" customHeight="1" x14ac:dyDescent="0.35">
      <c r="B285" s="28"/>
      <c r="C285" s="12">
        <v>492</v>
      </c>
      <c r="D285" s="96">
        <v>287</v>
      </c>
    </row>
    <row r="286" spans="2:4" ht="15" customHeight="1" thickBot="1" x14ac:dyDescent="0.4">
      <c r="B286" s="29"/>
      <c r="C286" s="132">
        <v>516</v>
      </c>
      <c r="D286" s="98">
        <v>292</v>
      </c>
    </row>
    <row r="287" spans="2:4" ht="15" customHeight="1" thickBot="1" x14ac:dyDescent="0.4"/>
    <row r="288" spans="2:4" ht="15" customHeight="1" x14ac:dyDescent="0.35">
      <c r="B288" s="30" t="s">
        <v>1761</v>
      </c>
      <c r="C288" s="130">
        <v>212</v>
      </c>
      <c r="D288" s="131">
        <v>151</v>
      </c>
    </row>
    <row r="289" spans="2:4" ht="15" customHeight="1" x14ac:dyDescent="0.35">
      <c r="B289" s="28"/>
      <c r="C289" s="12">
        <v>224</v>
      </c>
      <c r="D289" s="96">
        <v>175</v>
      </c>
    </row>
    <row r="290" spans="2:4" ht="15" customHeight="1" x14ac:dyDescent="0.35">
      <c r="B290" s="28"/>
      <c r="C290" s="12">
        <v>243</v>
      </c>
      <c r="D290" s="96">
        <v>175</v>
      </c>
    </row>
    <row r="291" spans="2:4" ht="15" customHeight="1" x14ac:dyDescent="0.35">
      <c r="B291" s="28"/>
      <c r="C291" s="12">
        <v>282</v>
      </c>
      <c r="D291" s="96">
        <v>152</v>
      </c>
    </row>
    <row r="292" spans="2:4" ht="15" customHeight="1" x14ac:dyDescent="0.35">
      <c r="B292" s="28"/>
      <c r="C292" s="12">
        <v>316</v>
      </c>
      <c r="D292" s="96">
        <v>222</v>
      </c>
    </row>
    <row r="293" spans="2:4" ht="15" customHeight="1" x14ac:dyDescent="0.35">
      <c r="B293" s="28"/>
      <c r="C293" s="12">
        <v>321</v>
      </c>
      <c r="D293" s="96">
        <v>221</v>
      </c>
    </row>
    <row r="294" spans="2:4" ht="15" customHeight="1" x14ac:dyDescent="0.35">
      <c r="B294" s="28"/>
      <c r="C294" s="12">
        <v>331</v>
      </c>
      <c r="D294" s="96">
        <v>220</v>
      </c>
    </row>
    <row r="295" spans="2:4" ht="15" customHeight="1" x14ac:dyDescent="0.35">
      <c r="B295" s="28"/>
      <c r="C295" s="12">
        <v>337</v>
      </c>
      <c r="D295" s="96">
        <v>219</v>
      </c>
    </row>
    <row r="296" spans="2:4" ht="15" customHeight="1" x14ac:dyDescent="0.35">
      <c r="B296" s="28"/>
      <c r="C296" s="12">
        <v>346</v>
      </c>
      <c r="D296" s="96">
        <v>230</v>
      </c>
    </row>
    <row r="297" spans="2:4" ht="15" customHeight="1" x14ac:dyDescent="0.35">
      <c r="B297" s="28"/>
      <c r="C297" s="12">
        <v>358</v>
      </c>
      <c r="D297" s="96">
        <v>232</v>
      </c>
    </row>
    <row r="298" spans="2:4" ht="15" customHeight="1" thickBot="1" x14ac:dyDescent="0.4">
      <c r="B298" s="29"/>
      <c r="C298" s="132">
        <v>385</v>
      </c>
      <c r="D298" s="98">
        <v>246</v>
      </c>
    </row>
    <row r="299" spans="2:4" ht="15" customHeight="1" thickBot="1" x14ac:dyDescent="0.4"/>
    <row r="300" spans="2:4" ht="15" customHeight="1" x14ac:dyDescent="0.35">
      <c r="B300" s="30" t="s">
        <v>1762</v>
      </c>
      <c r="C300" s="130">
        <v>343</v>
      </c>
      <c r="D300" s="131">
        <v>177</v>
      </c>
    </row>
    <row r="301" spans="2:4" ht="15" customHeight="1" x14ac:dyDescent="0.35">
      <c r="B301" s="28"/>
      <c r="C301" s="12">
        <v>251</v>
      </c>
      <c r="D301" s="96">
        <v>129</v>
      </c>
    </row>
    <row r="302" spans="2:4" ht="15" customHeight="1" x14ac:dyDescent="0.35">
      <c r="B302" s="28"/>
      <c r="C302" s="12">
        <v>303</v>
      </c>
      <c r="D302" s="96">
        <v>160</v>
      </c>
    </row>
    <row r="303" spans="2:4" ht="15" customHeight="1" x14ac:dyDescent="0.35">
      <c r="B303" s="28"/>
      <c r="C303" s="12">
        <v>397</v>
      </c>
      <c r="D303" s="96">
        <v>228</v>
      </c>
    </row>
    <row r="304" spans="2:4" ht="15" customHeight="1" x14ac:dyDescent="0.35">
      <c r="B304" s="28"/>
      <c r="C304" s="12">
        <v>318</v>
      </c>
      <c r="D304" s="96">
        <v>206</v>
      </c>
    </row>
    <row r="305" spans="2:4" ht="15" customHeight="1" x14ac:dyDescent="0.35">
      <c r="B305" s="28"/>
      <c r="C305" s="12">
        <v>332</v>
      </c>
      <c r="D305" s="96">
        <v>211</v>
      </c>
    </row>
    <row r="306" spans="2:4" ht="15" customHeight="1" x14ac:dyDescent="0.35">
      <c r="B306" s="28"/>
      <c r="C306" s="12">
        <v>356</v>
      </c>
      <c r="D306" s="96">
        <v>214</v>
      </c>
    </row>
    <row r="307" spans="2:4" ht="15" customHeight="1" x14ac:dyDescent="0.35">
      <c r="B307" s="28"/>
      <c r="C307" s="12">
        <v>381</v>
      </c>
      <c r="D307" s="96">
        <v>219</v>
      </c>
    </row>
    <row r="308" spans="2:4" ht="15" customHeight="1" thickBot="1" x14ac:dyDescent="0.4">
      <c r="B308" s="29"/>
      <c r="C308" s="132">
        <v>412</v>
      </c>
      <c r="D308" s="98">
        <v>226</v>
      </c>
    </row>
    <row r="309" spans="2:4" ht="15" customHeight="1" thickBot="1" x14ac:dyDescent="0.4"/>
    <row r="310" spans="2:4" ht="15" customHeight="1" x14ac:dyDescent="0.35">
      <c r="B310" s="30" t="s">
        <v>1763</v>
      </c>
      <c r="C310" s="130">
        <v>178</v>
      </c>
      <c r="D310" s="131">
        <v>109</v>
      </c>
    </row>
    <row r="311" spans="2:4" ht="15" customHeight="1" x14ac:dyDescent="0.35">
      <c r="B311" s="28"/>
      <c r="C311" s="12">
        <v>201</v>
      </c>
      <c r="D311" s="96">
        <v>112</v>
      </c>
    </row>
    <row r="312" spans="2:4" ht="15" customHeight="1" x14ac:dyDescent="0.35">
      <c r="B312" s="28"/>
      <c r="C312" s="12">
        <v>218</v>
      </c>
      <c r="D312" s="96">
        <v>134</v>
      </c>
    </row>
    <row r="313" spans="2:4" ht="15" customHeight="1" x14ac:dyDescent="0.35">
      <c r="B313" s="28"/>
      <c r="C313" s="12">
        <v>255</v>
      </c>
      <c r="D313" s="96">
        <v>122</v>
      </c>
    </row>
    <row r="314" spans="2:4" ht="15" customHeight="1" thickBot="1" x14ac:dyDescent="0.4">
      <c r="B314" s="29"/>
      <c r="C314" s="132">
        <v>289</v>
      </c>
      <c r="D314" s="98">
        <v>153</v>
      </c>
    </row>
    <row r="315" spans="2:4" ht="15" customHeight="1" thickBot="1" x14ac:dyDescent="0.4"/>
    <row r="316" spans="2:4" ht="15" customHeight="1" x14ac:dyDescent="0.35">
      <c r="B316" s="30" t="s">
        <v>1659</v>
      </c>
      <c r="C316" s="130">
        <v>415</v>
      </c>
      <c r="D316" s="131">
        <v>273</v>
      </c>
    </row>
    <row r="317" spans="2:4" ht="15" customHeight="1" x14ac:dyDescent="0.35">
      <c r="B317" s="28"/>
      <c r="C317" s="12">
        <v>406</v>
      </c>
      <c r="D317" s="96">
        <v>298</v>
      </c>
    </row>
    <row r="318" spans="2:4" ht="15" customHeight="1" x14ac:dyDescent="0.35">
      <c r="B318" s="28"/>
      <c r="C318" s="12">
        <v>428</v>
      </c>
      <c r="D318" s="96">
        <v>307</v>
      </c>
    </row>
    <row r="319" spans="2:4" ht="15" customHeight="1" x14ac:dyDescent="0.35">
      <c r="B319" s="28"/>
      <c r="C319" s="12">
        <v>447</v>
      </c>
      <c r="D319" s="96">
        <v>312</v>
      </c>
    </row>
    <row r="320" spans="2:4" ht="15" customHeight="1" thickBot="1" x14ac:dyDescent="0.4">
      <c r="B320" s="29"/>
      <c r="C320" s="132">
        <v>462</v>
      </c>
      <c r="D320" s="98">
        <v>318</v>
      </c>
    </row>
    <row r="321" spans="2:4" ht="15" customHeight="1" thickBot="1" x14ac:dyDescent="0.4"/>
    <row r="322" spans="2:4" ht="15" customHeight="1" x14ac:dyDescent="0.35">
      <c r="B322" s="30" t="s">
        <v>1764</v>
      </c>
      <c r="C322" s="130">
        <v>312</v>
      </c>
      <c r="D322" s="131">
        <v>178</v>
      </c>
    </row>
    <row r="323" spans="2:4" ht="15" customHeight="1" x14ac:dyDescent="0.35">
      <c r="B323" s="28"/>
      <c r="C323" s="12">
        <v>327</v>
      </c>
      <c r="D323" s="96">
        <v>167</v>
      </c>
    </row>
    <row r="324" spans="2:4" ht="15" customHeight="1" x14ac:dyDescent="0.35">
      <c r="B324" s="28"/>
      <c r="C324" s="12">
        <v>333</v>
      </c>
      <c r="D324" s="96">
        <v>194</v>
      </c>
    </row>
    <row r="325" spans="2:4" ht="15" customHeight="1" x14ac:dyDescent="0.35">
      <c r="B325" s="28"/>
      <c r="C325" s="12">
        <v>313</v>
      </c>
      <c r="D325" s="96">
        <v>171</v>
      </c>
    </row>
    <row r="326" spans="2:4" ht="15" customHeight="1" x14ac:dyDescent="0.35">
      <c r="B326" s="28"/>
      <c r="C326" s="12">
        <v>321</v>
      </c>
      <c r="D326" s="96">
        <v>185</v>
      </c>
    </row>
    <row r="327" spans="2:4" ht="15" customHeight="1" x14ac:dyDescent="0.35">
      <c r="B327" s="28"/>
      <c r="C327" s="12">
        <v>347</v>
      </c>
      <c r="D327" s="96">
        <v>168</v>
      </c>
    </row>
    <row r="328" spans="2:4" ht="15" customHeight="1" x14ac:dyDescent="0.35">
      <c r="B328" s="28"/>
      <c r="C328" s="12">
        <v>309</v>
      </c>
      <c r="D328" s="96">
        <v>160</v>
      </c>
    </row>
    <row r="329" spans="2:4" ht="15" customHeight="1" x14ac:dyDescent="0.35">
      <c r="B329" s="28"/>
      <c r="C329" s="12">
        <v>327</v>
      </c>
      <c r="D329" s="96">
        <v>167</v>
      </c>
    </row>
    <row r="330" spans="2:4" ht="15" customHeight="1" x14ac:dyDescent="0.35">
      <c r="B330" s="28"/>
      <c r="C330" s="12">
        <v>308</v>
      </c>
      <c r="D330" s="96">
        <v>165</v>
      </c>
    </row>
    <row r="331" spans="2:4" ht="15" customHeight="1" x14ac:dyDescent="0.35">
      <c r="B331" s="28"/>
      <c r="C331" s="12">
        <v>330</v>
      </c>
      <c r="D331" s="96">
        <v>187</v>
      </c>
    </row>
    <row r="332" spans="2:4" ht="15" customHeight="1" x14ac:dyDescent="0.35">
      <c r="B332" s="28"/>
      <c r="C332" s="12">
        <v>328</v>
      </c>
      <c r="D332" s="96">
        <v>165</v>
      </c>
    </row>
    <row r="333" spans="2:4" ht="15" customHeight="1" x14ac:dyDescent="0.35">
      <c r="B333" s="28"/>
      <c r="C333" s="12">
        <v>313</v>
      </c>
      <c r="D333" s="96">
        <v>166</v>
      </c>
    </row>
    <row r="334" spans="2:4" ht="15" customHeight="1" x14ac:dyDescent="0.35">
      <c r="B334" s="28"/>
      <c r="C334" s="12">
        <v>413</v>
      </c>
      <c r="D334" s="96">
        <v>204</v>
      </c>
    </row>
    <row r="335" spans="2:4" ht="15" customHeight="1" thickBot="1" x14ac:dyDescent="0.4">
      <c r="B335" s="29"/>
      <c r="C335" s="132">
        <v>318</v>
      </c>
      <c r="D335" s="98">
        <v>172</v>
      </c>
    </row>
    <row r="336" spans="2:4" ht="15" customHeight="1" thickBot="1" x14ac:dyDescent="0.4"/>
    <row r="337" spans="2:4" ht="15" customHeight="1" x14ac:dyDescent="0.35">
      <c r="B337" s="30" t="s">
        <v>1765</v>
      </c>
      <c r="C337" s="130">
        <v>122</v>
      </c>
      <c r="D337" s="131">
        <v>103</v>
      </c>
    </row>
    <row r="338" spans="2:4" ht="15" customHeight="1" x14ac:dyDescent="0.35">
      <c r="B338" s="28"/>
      <c r="C338" s="12">
        <v>164</v>
      </c>
      <c r="D338" s="96">
        <v>65</v>
      </c>
    </row>
    <row r="339" spans="2:4" ht="15" customHeight="1" x14ac:dyDescent="0.35">
      <c r="B339" s="28"/>
      <c r="C339" s="12">
        <v>165</v>
      </c>
      <c r="D339" s="96">
        <v>72</v>
      </c>
    </row>
    <row r="340" spans="2:4" ht="15" customHeight="1" x14ac:dyDescent="0.35">
      <c r="B340" s="28"/>
      <c r="C340" s="12">
        <v>167</v>
      </c>
      <c r="D340" s="96">
        <v>80</v>
      </c>
    </row>
    <row r="341" spans="2:4" ht="15" customHeight="1" x14ac:dyDescent="0.35">
      <c r="B341" s="28"/>
      <c r="C341" s="12">
        <v>167</v>
      </c>
      <c r="D341" s="96">
        <v>77</v>
      </c>
    </row>
    <row r="342" spans="2:4" ht="15" customHeight="1" x14ac:dyDescent="0.35">
      <c r="B342" s="28"/>
      <c r="C342" s="12">
        <v>167</v>
      </c>
      <c r="D342" s="96">
        <v>72</v>
      </c>
    </row>
    <row r="343" spans="2:4" ht="15" customHeight="1" x14ac:dyDescent="0.35">
      <c r="B343" s="28"/>
      <c r="C343" s="12">
        <v>168</v>
      </c>
      <c r="D343" s="96">
        <v>69</v>
      </c>
    </row>
    <row r="344" spans="2:4" ht="15" customHeight="1" x14ac:dyDescent="0.35">
      <c r="B344" s="28"/>
      <c r="C344" s="12">
        <v>178</v>
      </c>
      <c r="D344" s="96">
        <v>78</v>
      </c>
    </row>
    <row r="345" spans="2:4" ht="15" customHeight="1" x14ac:dyDescent="0.35">
      <c r="B345" s="28"/>
      <c r="C345" s="12">
        <v>179</v>
      </c>
      <c r="D345" s="96">
        <v>75</v>
      </c>
    </row>
    <row r="346" spans="2:4" ht="15" customHeight="1" x14ac:dyDescent="0.35">
      <c r="B346" s="28"/>
      <c r="C346" s="12">
        <v>179</v>
      </c>
      <c r="D346" s="96">
        <v>79</v>
      </c>
    </row>
    <row r="347" spans="2:4" ht="15" customHeight="1" x14ac:dyDescent="0.35">
      <c r="B347" s="28"/>
      <c r="C347" s="12">
        <v>180</v>
      </c>
      <c r="D347" s="96">
        <v>83</v>
      </c>
    </row>
    <row r="348" spans="2:4" ht="15" customHeight="1" x14ac:dyDescent="0.35">
      <c r="B348" s="28"/>
      <c r="C348" s="12">
        <v>180</v>
      </c>
      <c r="D348" s="96">
        <v>80</v>
      </c>
    </row>
    <row r="349" spans="2:4" ht="15" customHeight="1" x14ac:dyDescent="0.35">
      <c r="B349" s="28"/>
      <c r="C349" s="12">
        <v>196</v>
      </c>
      <c r="D349" s="96">
        <v>100</v>
      </c>
    </row>
    <row r="350" spans="2:4" ht="15" customHeight="1" x14ac:dyDescent="0.35">
      <c r="B350" s="28"/>
      <c r="C350" s="12">
        <v>201</v>
      </c>
      <c r="D350" s="96">
        <v>101</v>
      </c>
    </row>
    <row r="351" spans="2:4" ht="15" customHeight="1" x14ac:dyDescent="0.35">
      <c r="B351" s="28"/>
      <c r="C351" s="12">
        <v>202</v>
      </c>
      <c r="D351" s="96">
        <v>99</v>
      </c>
    </row>
    <row r="352" spans="2:4" ht="15" customHeight="1" x14ac:dyDescent="0.35">
      <c r="B352" s="28"/>
      <c r="C352" s="12">
        <v>206</v>
      </c>
      <c r="D352" s="96">
        <v>81</v>
      </c>
    </row>
    <row r="353" spans="2:4" ht="15" customHeight="1" thickBot="1" x14ac:dyDescent="0.4">
      <c r="B353" s="29"/>
      <c r="C353" s="132">
        <v>221</v>
      </c>
      <c r="D353" s="98">
        <v>104</v>
      </c>
    </row>
    <row r="354" spans="2:4" ht="15" customHeight="1" thickBot="1" x14ac:dyDescent="0.4"/>
    <row r="355" spans="2:4" ht="15" customHeight="1" x14ac:dyDescent="0.35">
      <c r="B355" s="30" t="s">
        <v>1766</v>
      </c>
      <c r="C355" s="130">
        <v>217</v>
      </c>
      <c r="D355" s="131">
        <v>118</v>
      </c>
    </row>
    <row r="356" spans="2:4" ht="15" customHeight="1" x14ac:dyDescent="0.35">
      <c r="B356" s="28"/>
      <c r="C356" s="12">
        <v>220</v>
      </c>
      <c r="D356" s="96">
        <v>112</v>
      </c>
    </row>
    <row r="357" spans="2:4" ht="15" customHeight="1" x14ac:dyDescent="0.35">
      <c r="B357" s="28"/>
      <c r="C357" s="12">
        <v>223</v>
      </c>
      <c r="D357" s="96">
        <v>112</v>
      </c>
    </row>
    <row r="358" spans="2:4" ht="15" customHeight="1" x14ac:dyDescent="0.35">
      <c r="B358" s="28"/>
      <c r="C358" s="12">
        <v>225</v>
      </c>
      <c r="D358" s="96">
        <v>119</v>
      </c>
    </row>
    <row r="359" spans="2:4" ht="15" customHeight="1" x14ac:dyDescent="0.35">
      <c r="B359" s="28"/>
      <c r="C359" s="12">
        <v>229</v>
      </c>
      <c r="D359" s="96">
        <v>120</v>
      </c>
    </row>
    <row r="360" spans="2:4" ht="15" customHeight="1" x14ac:dyDescent="0.35">
      <c r="B360" s="28"/>
      <c r="C360" s="12">
        <v>233</v>
      </c>
      <c r="D360" s="96">
        <v>123</v>
      </c>
    </row>
    <row r="361" spans="2:4" ht="15" customHeight="1" x14ac:dyDescent="0.35">
      <c r="B361" s="28"/>
      <c r="C361" s="12">
        <v>235</v>
      </c>
      <c r="D361" s="96">
        <v>128</v>
      </c>
    </row>
    <row r="362" spans="2:4" ht="15" customHeight="1" x14ac:dyDescent="0.35">
      <c r="B362" s="28"/>
      <c r="C362" s="12">
        <v>237</v>
      </c>
      <c r="D362" s="96">
        <v>118</v>
      </c>
    </row>
    <row r="363" spans="2:4" ht="15" customHeight="1" x14ac:dyDescent="0.35">
      <c r="B363" s="28"/>
      <c r="C363" s="12">
        <v>239</v>
      </c>
      <c r="D363" s="96">
        <v>123</v>
      </c>
    </row>
    <row r="364" spans="2:4" ht="15" customHeight="1" x14ac:dyDescent="0.35">
      <c r="B364" s="28"/>
      <c r="C364" s="12">
        <v>242</v>
      </c>
      <c r="D364" s="96">
        <v>121</v>
      </c>
    </row>
    <row r="365" spans="2:4" ht="15" customHeight="1" x14ac:dyDescent="0.35">
      <c r="B365" s="28"/>
      <c r="C365" s="12">
        <v>247</v>
      </c>
      <c r="D365" s="96">
        <v>118</v>
      </c>
    </row>
    <row r="366" spans="2:4" ht="15" customHeight="1" x14ac:dyDescent="0.35">
      <c r="B366" s="28"/>
      <c r="C366" s="12">
        <v>253</v>
      </c>
      <c r="D366" s="96">
        <v>131</v>
      </c>
    </row>
    <row r="367" spans="2:4" ht="15" customHeight="1" x14ac:dyDescent="0.35">
      <c r="B367" s="28"/>
      <c r="C367" s="12">
        <v>258</v>
      </c>
      <c r="D367" s="96">
        <v>135</v>
      </c>
    </row>
    <row r="368" spans="2:4" ht="15" customHeight="1" x14ac:dyDescent="0.35">
      <c r="B368" s="28"/>
      <c r="C368" s="12">
        <v>265</v>
      </c>
      <c r="D368" s="96">
        <v>130</v>
      </c>
    </row>
    <row r="369" spans="2:4" ht="15" customHeight="1" x14ac:dyDescent="0.35">
      <c r="B369" s="28"/>
      <c r="C369" s="12">
        <v>266</v>
      </c>
      <c r="D369" s="96">
        <v>128</v>
      </c>
    </row>
    <row r="370" spans="2:4" ht="15" customHeight="1" x14ac:dyDescent="0.35">
      <c r="B370" s="28"/>
      <c r="C370" s="12">
        <v>269</v>
      </c>
      <c r="D370" s="96">
        <v>142</v>
      </c>
    </row>
    <row r="371" spans="2:4" ht="15" customHeight="1" x14ac:dyDescent="0.35">
      <c r="B371" s="28"/>
      <c r="C371" s="12">
        <v>276</v>
      </c>
      <c r="D371" s="96">
        <v>149</v>
      </c>
    </row>
    <row r="372" spans="2:4" ht="15" customHeight="1" x14ac:dyDescent="0.35">
      <c r="B372" s="28"/>
      <c r="C372" s="12">
        <v>279</v>
      </c>
      <c r="D372" s="96">
        <v>151</v>
      </c>
    </row>
    <row r="373" spans="2:4" ht="15" customHeight="1" x14ac:dyDescent="0.35">
      <c r="B373" s="28"/>
      <c r="C373" s="12">
        <v>286</v>
      </c>
      <c r="D373" s="96">
        <v>164</v>
      </c>
    </row>
    <row r="374" spans="2:4" ht="15" customHeight="1" x14ac:dyDescent="0.35">
      <c r="B374" s="28"/>
      <c r="C374" s="12">
        <v>290</v>
      </c>
      <c r="D374" s="96">
        <v>164</v>
      </c>
    </row>
    <row r="375" spans="2:4" ht="15" customHeight="1" x14ac:dyDescent="0.35">
      <c r="B375" s="28"/>
      <c r="C375" s="12">
        <v>299</v>
      </c>
      <c r="D375" s="96">
        <v>165</v>
      </c>
    </row>
    <row r="376" spans="2:4" ht="15" customHeight="1" x14ac:dyDescent="0.35">
      <c r="B376" s="28"/>
      <c r="C376" s="12">
        <v>305</v>
      </c>
      <c r="D376" s="96">
        <v>173</v>
      </c>
    </row>
    <row r="377" spans="2:4" ht="15" customHeight="1" thickBot="1" x14ac:dyDescent="0.4">
      <c r="B377" s="29"/>
      <c r="C377" s="132">
        <v>355</v>
      </c>
      <c r="D377" s="98">
        <v>174</v>
      </c>
    </row>
    <row r="378" spans="2:4" ht="15" customHeight="1" thickBot="1" x14ac:dyDescent="0.4"/>
    <row r="379" spans="2:4" ht="15" customHeight="1" x14ac:dyDescent="0.35">
      <c r="B379" s="30" t="s">
        <v>1767</v>
      </c>
      <c r="C379" s="130">
        <v>190</v>
      </c>
      <c r="D379" s="131">
        <v>101</v>
      </c>
    </row>
    <row r="380" spans="2:4" ht="15" customHeight="1" x14ac:dyDescent="0.35">
      <c r="B380" s="28"/>
      <c r="C380" s="12">
        <v>193</v>
      </c>
      <c r="D380" s="96">
        <v>101</v>
      </c>
    </row>
    <row r="381" spans="2:4" ht="15" customHeight="1" x14ac:dyDescent="0.35">
      <c r="B381" s="28"/>
      <c r="C381" s="12">
        <v>224</v>
      </c>
      <c r="D381" s="96">
        <v>124</v>
      </c>
    </row>
    <row r="382" spans="2:4" ht="15" customHeight="1" x14ac:dyDescent="0.35">
      <c r="B382" s="28"/>
      <c r="C382" s="12">
        <v>230</v>
      </c>
      <c r="D382" s="96">
        <v>117</v>
      </c>
    </row>
    <row r="383" spans="2:4" ht="15" customHeight="1" x14ac:dyDescent="0.35">
      <c r="B383" s="28"/>
      <c r="C383" s="12">
        <v>235</v>
      </c>
      <c r="D383" s="96">
        <v>117</v>
      </c>
    </row>
    <row r="384" spans="2:4" ht="15" customHeight="1" x14ac:dyDescent="0.35">
      <c r="B384" s="28"/>
      <c r="C384" s="12">
        <v>244</v>
      </c>
      <c r="D384" s="96">
        <v>131</v>
      </c>
    </row>
    <row r="385" spans="2:4" ht="15" customHeight="1" x14ac:dyDescent="0.35">
      <c r="B385" s="28"/>
      <c r="C385" s="12">
        <v>246</v>
      </c>
      <c r="D385" s="96">
        <v>120</v>
      </c>
    </row>
    <row r="386" spans="2:4" ht="15" customHeight="1" x14ac:dyDescent="0.35">
      <c r="B386" s="28"/>
      <c r="C386" s="12">
        <v>246</v>
      </c>
      <c r="D386" s="96">
        <v>135</v>
      </c>
    </row>
    <row r="387" spans="2:4" ht="15" customHeight="1" x14ac:dyDescent="0.35">
      <c r="B387" s="28"/>
      <c r="C387" s="12">
        <v>247</v>
      </c>
      <c r="D387" s="96">
        <v>133</v>
      </c>
    </row>
    <row r="388" spans="2:4" ht="15" customHeight="1" x14ac:dyDescent="0.35">
      <c r="B388" s="28"/>
      <c r="C388" s="12">
        <v>251</v>
      </c>
      <c r="D388" s="96">
        <v>114</v>
      </c>
    </row>
    <row r="389" spans="2:4" ht="15" customHeight="1" x14ac:dyDescent="0.35">
      <c r="B389" s="28"/>
      <c r="C389" s="12">
        <v>251</v>
      </c>
      <c r="D389" s="96">
        <v>136</v>
      </c>
    </row>
    <row r="390" spans="2:4" ht="15" customHeight="1" x14ac:dyDescent="0.35">
      <c r="B390" s="28"/>
      <c r="C390" s="12">
        <v>253</v>
      </c>
      <c r="D390" s="96">
        <v>114</v>
      </c>
    </row>
    <row r="391" spans="2:4" ht="15" customHeight="1" x14ac:dyDescent="0.35">
      <c r="B391" s="28"/>
      <c r="C391" s="12">
        <v>253</v>
      </c>
      <c r="D391" s="96">
        <v>132</v>
      </c>
    </row>
    <row r="392" spans="2:4" ht="15" customHeight="1" x14ac:dyDescent="0.35">
      <c r="B392" s="28"/>
      <c r="C392" s="12">
        <v>257</v>
      </c>
      <c r="D392" s="96">
        <v>144</v>
      </c>
    </row>
    <row r="393" spans="2:4" ht="15" customHeight="1" x14ac:dyDescent="0.35">
      <c r="B393" s="28"/>
      <c r="C393" s="12">
        <v>258</v>
      </c>
      <c r="D393" s="96">
        <v>141</v>
      </c>
    </row>
    <row r="394" spans="2:4" ht="15" customHeight="1" x14ac:dyDescent="0.35">
      <c r="B394" s="28"/>
      <c r="C394" s="12">
        <v>259</v>
      </c>
      <c r="D394" s="96">
        <v>125</v>
      </c>
    </row>
    <row r="395" spans="2:4" ht="15" customHeight="1" x14ac:dyDescent="0.35">
      <c r="B395" s="28"/>
      <c r="C395" s="12">
        <v>260</v>
      </c>
      <c r="D395" s="96">
        <v>126</v>
      </c>
    </row>
    <row r="396" spans="2:4" ht="15" customHeight="1" x14ac:dyDescent="0.35">
      <c r="B396" s="28"/>
      <c r="C396" s="12">
        <v>260</v>
      </c>
      <c r="D396" s="96">
        <v>127</v>
      </c>
    </row>
    <row r="397" spans="2:4" ht="15" customHeight="1" x14ac:dyDescent="0.35">
      <c r="B397" s="28"/>
      <c r="C397" s="12">
        <v>261</v>
      </c>
      <c r="D397" s="96">
        <v>138</v>
      </c>
    </row>
    <row r="398" spans="2:4" ht="15" customHeight="1" x14ac:dyDescent="0.35">
      <c r="B398" s="28"/>
      <c r="C398" s="12">
        <v>263</v>
      </c>
      <c r="D398" s="96">
        <v>127</v>
      </c>
    </row>
    <row r="399" spans="2:4" ht="15" customHeight="1" x14ac:dyDescent="0.35">
      <c r="B399" s="28"/>
      <c r="C399" s="12">
        <v>264</v>
      </c>
      <c r="D399" s="96">
        <v>126</v>
      </c>
    </row>
    <row r="400" spans="2:4" ht="15" customHeight="1" x14ac:dyDescent="0.35">
      <c r="B400" s="28"/>
      <c r="C400" s="12">
        <v>265</v>
      </c>
      <c r="D400" s="96">
        <v>107</v>
      </c>
    </row>
    <row r="401" spans="2:4" ht="15" customHeight="1" x14ac:dyDescent="0.35">
      <c r="B401" s="28"/>
      <c r="C401" s="12">
        <v>269</v>
      </c>
      <c r="D401" s="96">
        <v>138</v>
      </c>
    </row>
    <row r="402" spans="2:4" ht="15" customHeight="1" x14ac:dyDescent="0.35">
      <c r="B402" s="28"/>
      <c r="C402" s="12">
        <v>269</v>
      </c>
      <c r="D402" s="96">
        <v>142</v>
      </c>
    </row>
    <row r="403" spans="2:4" ht="15" customHeight="1" x14ac:dyDescent="0.35">
      <c r="B403" s="28"/>
      <c r="C403" s="12">
        <v>275</v>
      </c>
      <c r="D403" s="96">
        <v>143</v>
      </c>
    </row>
    <row r="404" spans="2:4" ht="15" customHeight="1" x14ac:dyDescent="0.35">
      <c r="B404" s="28"/>
      <c r="C404" s="12">
        <v>283</v>
      </c>
      <c r="D404" s="96">
        <v>139</v>
      </c>
    </row>
    <row r="405" spans="2:4" ht="15" customHeight="1" x14ac:dyDescent="0.35">
      <c r="B405" s="28"/>
      <c r="C405" s="12">
        <v>288</v>
      </c>
      <c r="D405" s="96">
        <v>149</v>
      </c>
    </row>
    <row r="406" spans="2:4" ht="15" customHeight="1" x14ac:dyDescent="0.35">
      <c r="B406" s="28"/>
      <c r="C406" s="12">
        <v>295</v>
      </c>
      <c r="D406" s="96">
        <v>144</v>
      </c>
    </row>
    <row r="407" spans="2:4" ht="15" customHeight="1" x14ac:dyDescent="0.35">
      <c r="B407" s="28"/>
      <c r="C407" s="12">
        <v>302</v>
      </c>
      <c r="D407" s="96">
        <v>167</v>
      </c>
    </row>
    <row r="408" spans="2:4" ht="15" customHeight="1" x14ac:dyDescent="0.35">
      <c r="B408" s="28"/>
      <c r="C408" s="12">
        <v>306</v>
      </c>
      <c r="D408" s="96">
        <v>164</v>
      </c>
    </row>
    <row r="409" spans="2:4" ht="15" customHeight="1" thickBot="1" x14ac:dyDescent="0.4">
      <c r="B409" s="29"/>
      <c r="C409" s="132">
        <v>309</v>
      </c>
      <c r="D409" s="98">
        <v>168</v>
      </c>
    </row>
    <row r="410" spans="2:4" ht="15" customHeight="1" thickBot="1" x14ac:dyDescent="0.4"/>
    <row r="411" spans="2:4" ht="15" customHeight="1" x14ac:dyDescent="0.35">
      <c r="B411" s="30" t="s">
        <v>1768</v>
      </c>
      <c r="C411" s="130">
        <v>279</v>
      </c>
      <c r="D411" s="131">
        <v>177</v>
      </c>
    </row>
    <row r="412" spans="2:4" ht="15" customHeight="1" x14ac:dyDescent="0.35">
      <c r="B412" s="28"/>
      <c r="C412" s="12">
        <v>281</v>
      </c>
      <c r="D412" s="96">
        <v>160</v>
      </c>
    </row>
    <row r="413" spans="2:4" ht="15" customHeight="1" x14ac:dyDescent="0.35">
      <c r="B413" s="28"/>
      <c r="C413" s="12">
        <v>284</v>
      </c>
      <c r="D413" s="96">
        <v>171</v>
      </c>
    </row>
    <row r="414" spans="2:4" ht="15" customHeight="1" x14ac:dyDescent="0.35">
      <c r="B414" s="28"/>
      <c r="C414" s="12">
        <v>289</v>
      </c>
      <c r="D414" s="96">
        <v>173</v>
      </c>
    </row>
    <row r="415" spans="2:4" ht="15" customHeight="1" x14ac:dyDescent="0.35">
      <c r="B415" s="28"/>
      <c r="C415" s="12">
        <v>290</v>
      </c>
      <c r="D415" s="96">
        <v>173</v>
      </c>
    </row>
    <row r="416" spans="2:4" ht="15" customHeight="1" x14ac:dyDescent="0.35">
      <c r="B416" s="28"/>
      <c r="C416" s="12">
        <v>291</v>
      </c>
      <c r="D416" s="96">
        <v>174</v>
      </c>
    </row>
    <row r="417" spans="2:4" ht="15" customHeight="1" x14ac:dyDescent="0.35">
      <c r="B417" s="28"/>
      <c r="C417" s="12">
        <v>294</v>
      </c>
      <c r="D417" s="96">
        <v>177</v>
      </c>
    </row>
    <row r="418" spans="2:4" ht="15" customHeight="1" x14ac:dyDescent="0.35">
      <c r="B418" s="28"/>
      <c r="C418" s="12">
        <v>295</v>
      </c>
      <c r="D418" s="96">
        <v>178</v>
      </c>
    </row>
    <row r="419" spans="2:4" ht="15" customHeight="1" x14ac:dyDescent="0.35">
      <c r="B419" s="28"/>
      <c r="C419" s="12">
        <v>299</v>
      </c>
      <c r="D419" s="96">
        <v>175</v>
      </c>
    </row>
    <row r="420" spans="2:4" ht="15" customHeight="1" x14ac:dyDescent="0.35">
      <c r="B420" s="28"/>
      <c r="C420" s="12">
        <v>300</v>
      </c>
      <c r="D420" s="96">
        <v>177</v>
      </c>
    </row>
    <row r="421" spans="2:4" ht="15" customHeight="1" x14ac:dyDescent="0.35">
      <c r="B421" s="28"/>
      <c r="C421" s="12">
        <v>302</v>
      </c>
      <c r="D421" s="96">
        <v>184</v>
      </c>
    </row>
    <row r="422" spans="2:4" ht="15" customHeight="1" x14ac:dyDescent="0.35">
      <c r="B422" s="28"/>
      <c r="C422" s="12">
        <v>303</v>
      </c>
      <c r="D422" s="96">
        <v>177</v>
      </c>
    </row>
    <row r="423" spans="2:4" ht="15" customHeight="1" x14ac:dyDescent="0.35">
      <c r="B423" s="28"/>
      <c r="C423" s="12">
        <v>304</v>
      </c>
      <c r="D423" s="96">
        <v>186</v>
      </c>
    </row>
    <row r="424" spans="2:4" ht="15" customHeight="1" x14ac:dyDescent="0.35">
      <c r="B424" s="28"/>
      <c r="C424" s="12">
        <v>305</v>
      </c>
      <c r="D424" s="96">
        <v>182</v>
      </c>
    </row>
    <row r="425" spans="2:4" ht="15" customHeight="1" x14ac:dyDescent="0.35">
      <c r="B425" s="28"/>
      <c r="C425" s="12">
        <v>307</v>
      </c>
      <c r="D425" s="96">
        <v>186</v>
      </c>
    </row>
    <row r="426" spans="2:4" ht="15" customHeight="1" x14ac:dyDescent="0.35">
      <c r="B426" s="28"/>
      <c r="C426" s="12">
        <v>308</v>
      </c>
      <c r="D426" s="96">
        <v>185</v>
      </c>
    </row>
    <row r="427" spans="2:4" ht="15" customHeight="1" x14ac:dyDescent="0.35">
      <c r="B427" s="28"/>
      <c r="C427" s="12">
        <v>309</v>
      </c>
      <c r="D427" s="96">
        <v>188</v>
      </c>
    </row>
    <row r="428" spans="2:4" ht="15" customHeight="1" x14ac:dyDescent="0.35">
      <c r="B428" s="28"/>
      <c r="C428" s="12">
        <v>312</v>
      </c>
      <c r="D428" s="96">
        <v>182</v>
      </c>
    </row>
    <row r="429" spans="2:4" ht="15" customHeight="1" x14ac:dyDescent="0.35">
      <c r="B429" s="28"/>
      <c r="C429" s="12">
        <v>313</v>
      </c>
      <c r="D429" s="96">
        <v>191</v>
      </c>
    </row>
    <row r="430" spans="2:4" ht="15" customHeight="1" x14ac:dyDescent="0.35">
      <c r="B430" s="28"/>
      <c r="C430" s="12">
        <v>315</v>
      </c>
      <c r="D430" s="96">
        <v>185</v>
      </c>
    </row>
    <row r="431" spans="2:4" ht="15" customHeight="1" x14ac:dyDescent="0.35">
      <c r="B431" s="28"/>
      <c r="C431" s="12">
        <v>317</v>
      </c>
      <c r="D431" s="96">
        <v>186</v>
      </c>
    </row>
    <row r="432" spans="2:4" ht="15" customHeight="1" x14ac:dyDescent="0.35">
      <c r="B432" s="28"/>
      <c r="C432" s="12">
        <v>318</v>
      </c>
      <c r="D432" s="96">
        <v>184</v>
      </c>
    </row>
    <row r="433" spans="2:4" ht="15" customHeight="1" x14ac:dyDescent="0.35">
      <c r="B433" s="28"/>
      <c r="C433" s="12">
        <v>320</v>
      </c>
      <c r="D433" s="96">
        <v>187</v>
      </c>
    </row>
    <row r="434" spans="2:4" ht="15" customHeight="1" x14ac:dyDescent="0.35">
      <c r="B434" s="28"/>
      <c r="C434" s="12">
        <v>322</v>
      </c>
      <c r="D434" s="96">
        <v>185</v>
      </c>
    </row>
    <row r="435" spans="2:4" ht="15" customHeight="1" x14ac:dyDescent="0.35">
      <c r="B435" s="28"/>
      <c r="C435" s="12">
        <v>325</v>
      </c>
      <c r="D435" s="96">
        <v>193</v>
      </c>
    </row>
    <row r="436" spans="2:4" ht="15" customHeight="1" x14ac:dyDescent="0.35">
      <c r="B436" s="28"/>
      <c r="C436" s="12">
        <v>329</v>
      </c>
      <c r="D436" s="96">
        <v>190</v>
      </c>
    </row>
    <row r="437" spans="2:4" ht="15" customHeight="1" x14ac:dyDescent="0.35">
      <c r="B437" s="28"/>
      <c r="C437" s="12">
        <v>332</v>
      </c>
      <c r="D437" s="96">
        <v>184</v>
      </c>
    </row>
    <row r="438" spans="2:4" ht="15" customHeight="1" thickBot="1" x14ac:dyDescent="0.4">
      <c r="B438" s="29"/>
      <c r="C438" s="132">
        <v>341</v>
      </c>
      <c r="D438" s="98">
        <v>192</v>
      </c>
    </row>
    <row r="439" spans="2:4" ht="15" customHeight="1" thickBot="1" x14ac:dyDescent="0.4"/>
    <row r="440" spans="2:4" ht="15" customHeight="1" x14ac:dyDescent="0.35">
      <c r="B440" s="30" t="s">
        <v>1769</v>
      </c>
      <c r="C440" s="130">
        <v>567</v>
      </c>
      <c r="D440" s="131">
        <v>334</v>
      </c>
    </row>
    <row r="441" spans="2:4" ht="15" customHeight="1" x14ac:dyDescent="0.35">
      <c r="B441" s="28"/>
      <c r="C441" s="12">
        <v>588</v>
      </c>
      <c r="D441" s="96">
        <v>343</v>
      </c>
    </row>
    <row r="442" spans="2:4" ht="15" customHeight="1" x14ac:dyDescent="0.35">
      <c r="B442" s="28"/>
      <c r="C442" s="12">
        <v>603</v>
      </c>
      <c r="D442" s="96">
        <v>372</v>
      </c>
    </row>
    <row r="443" spans="2:4" ht="15" customHeight="1" x14ac:dyDescent="0.35">
      <c r="B443" s="28"/>
      <c r="C443" s="12">
        <v>624</v>
      </c>
      <c r="D443" s="96">
        <v>336</v>
      </c>
    </row>
    <row r="444" spans="2:4" ht="15" customHeight="1" x14ac:dyDescent="0.35">
      <c r="B444" s="28"/>
      <c r="C444" s="12">
        <v>641</v>
      </c>
      <c r="D444" s="96">
        <v>374</v>
      </c>
    </row>
    <row r="445" spans="2:4" ht="15" customHeight="1" x14ac:dyDescent="0.35">
      <c r="B445" s="28"/>
      <c r="C445" s="12">
        <v>667</v>
      </c>
      <c r="D445" s="96">
        <v>363</v>
      </c>
    </row>
    <row r="446" spans="2:4" ht="15" customHeight="1" x14ac:dyDescent="0.35">
      <c r="B446" s="28"/>
      <c r="C446" s="12">
        <v>703</v>
      </c>
      <c r="D446" s="96">
        <v>416</v>
      </c>
    </row>
    <row r="447" spans="2:4" ht="15" customHeight="1" x14ac:dyDescent="0.35">
      <c r="B447" s="28"/>
      <c r="C447" s="12">
        <v>728</v>
      </c>
      <c r="D447" s="96">
        <v>355</v>
      </c>
    </row>
    <row r="448" spans="2:4" ht="15" customHeight="1" thickBot="1" x14ac:dyDescent="0.4">
      <c r="B448" s="29"/>
      <c r="C448" s="132">
        <v>757</v>
      </c>
      <c r="D448" s="98">
        <v>396</v>
      </c>
    </row>
    <row r="449" spans="2:4" ht="15" customHeight="1" thickBot="1" x14ac:dyDescent="0.4"/>
    <row r="450" spans="2:4" ht="15" customHeight="1" x14ac:dyDescent="0.35">
      <c r="B450" s="30" t="s">
        <v>1770</v>
      </c>
      <c r="C450" s="130">
        <v>438</v>
      </c>
      <c r="D450" s="131">
        <v>492</v>
      </c>
    </row>
    <row r="451" spans="2:4" ht="15" customHeight="1" x14ac:dyDescent="0.35">
      <c r="B451" s="28"/>
      <c r="C451" s="12">
        <v>446</v>
      </c>
      <c r="D451" s="96">
        <v>497</v>
      </c>
    </row>
    <row r="452" spans="2:4" ht="15" customHeight="1" x14ac:dyDescent="0.35">
      <c r="B452" s="28"/>
      <c r="C452" s="12">
        <v>455</v>
      </c>
      <c r="D452" s="96">
        <v>500</v>
      </c>
    </row>
    <row r="453" spans="2:4" ht="15" customHeight="1" x14ac:dyDescent="0.35">
      <c r="B453" s="28"/>
      <c r="C453" s="12">
        <v>468</v>
      </c>
      <c r="D453" s="96">
        <v>501</v>
      </c>
    </row>
    <row r="454" spans="2:4" ht="15" customHeight="1" x14ac:dyDescent="0.35">
      <c r="B454" s="28"/>
      <c r="C454" s="12">
        <v>482</v>
      </c>
      <c r="D454" s="96">
        <v>502</v>
      </c>
    </row>
    <row r="455" spans="2:4" ht="15" customHeight="1" x14ac:dyDescent="0.35">
      <c r="B455" s="28"/>
      <c r="C455" s="12">
        <v>495</v>
      </c>
      <c r="D455" s="96">
        <v>503</v>
      </c>
    </row>
    <row r="456" spans="2:4" ht="15" customHeight="1" x14ac:dyDescent="0.35">
      <c r="B456" s="28"/>
      <c r="C456" s="12">
        <v>508</v>
      </c>
      <c r="D456" s="96">
        <v>503</v>
      </c>
    </row>
    <row r="457" spans="2:4" ht="15" customHeight="1" x14ac:dyDescent="0.35">
      <c r="B457" s="28"/>
      <c r="C457" s="12">
        <v>522</v>
      </c>
      <c r="D457" s="96">
        <v>504</v>
      </c>
    </row>
    <row r="458" spans="2:4" ht="15" customHeight="1" x14ac:dyDescent="0.35">
      <c r="B458" s="28"/>
      <c r="C458" s="12">
        <v>536</v>
      </c>
      <c r="D458" s="96">
        <v>504</v>
      </c>
    </row>
    <row r="459" spans="2:4" ht="15" customHeight="1" x14ac:dyDescent="0.35">
      <c r="B459" s="28"/>
      <c r="C459" s="12">
        <v>549</v>
      </c>
      <c r="D459" s="96">
        <v>505</v>
      </c>
    </row>
    <row r="460" spans="2:4" ht="15" customHeight="1" x14ac:dyDescent="0.35">
      <c r="B460" s="28"/>
      <c r="C460" s="12">
        <v>563</v>
      </c>
      <c r="D460" s="96">
        <v>505</v>
      </c>
    </row>
    <row r="461" spans="2:4" ht="15" customHeight="1" x14ac:dyDescent="0.35">
      <c r="B461" s="28"/>
      <c r="C461" s="12">
        <v>577</v>
      </c>
      <c r="D461" s="96">
        <v>506</v>
      </c>
    </row>
    <row r="462" spans="2:4" ht="15" customHeight="1" x14ac:dyDescent="0.35">
      <c r="B462" s="28"/>
      <c r="C462" s="12">
        <v>592</v>
      </c>
      <c r="D462" s="96">
        <v>506</v>
      </c>
    </row>
    <row r="463" spans="2:4" ht="15" customHeight="1" x14ac:dyDescent="0.35">
      <c r="B463" s="28"/>
      <c r="C463" s="12">
        <v>608</v>
      </c>
      <c r="D463" s="96">
        <v>507</v>
      </c>
    </row>
    <row r="464" spans="2:4" ht="15" customHeight="1" x14ac:dyDescent="0.35">
      <c r="B464" s="28"/>
      <c r="C464" s="12">
        <v>624</v>
      </c>
      <c r="D464" s="96">
        <v>507</v>
      </c>
    </row>
    <row r="465" spans="2:4" ht="15" customHeight="1" x14ac:dyDescent="0.35">
      <c r="B465" s="28"/>
      <c r="C465" s="12">
        <v>641</v>
      </c>
      <c r="D465" s="96">
        <v>508</v>
      </c>
    </row>
    <row r="466" spans="2:4" ht="15" customHeight="1" x14ac:dyDescent="0.35">
      <c r="B466" s="28"/>
      <c r="C466" s="12">
        <v>659</v>
      </c>
      <c r="D466" s="96">
        <v>508</v>
      </c>
    </row>
    <row r="467" spans="2:4" ht="15" customHeight="1" x14ac:dyDescent="0.35">
      <c r="B467" s="28"/>
      <c r="C467" s="12">
        <v>678</v>
      </c>
      <c r="D467" s="96">
        <v>509</v>
      </c>
    </row>
    <row r="468" spans="2:4" ht="15" customHeight="1" x14ac:dyDescent="0.35">
      <c r="B468" s="28"/>
      <c r="C468" s="12">
        <v>698</v>
      </c>
      <c r="D468" s="96">
        <v>509</v>
      </c>
    </row>
    <row r="469" spans="2:4" ht="15" customHeight="1" x14ac:dyDescent="0.35">
      <c r="B469" s="28"/>
      <c r="C469" s="12">
        <v>719</v>
      </c>
      <c r="D469" s="96">
        <v>510</v>
      </c>
    </row>
    <row r="470" spans="2:4" ht="15" customHeight="1" x14ac:dyDescent="0.35">
      <c r="B470" s="28"/>
      <c r="C470" s="12">
        <v>741</v>
      </c>
      <c r="D470" s="96">
        <v>510</v>
      </c>
    </row>
    <row r="471" spans="2:4" ht="15" customHeight="1" x14ac:dyDescent="0.35">
      <c r="B471" s="28"/>
      <c r="C471" s="12">
        <v>764</v>
      </c>
      <c r="D471" s="96">
        <v>511</v>
      </c>
    </row>
    <row r="472" spans="2:4" ht="15" customHeight="1" x14ac:dyDescent="0.35">
      <c r="B472" s="28"/>
      <c r="C472" s="12">
        <v>788</v>
      </c>
      <c r="D472" s="96">
        <v>512</v>
      </c>
    </row>
    <row r="473" spans="2:4" ht="15" customHeight="1" x14ac:dyDescent="0.35">
      <c r="B473" s="28"/>
      <c r="C473" s="12">
        <v>812</v>
      </c>
      <c r="D473" s="96">
        <v>514</v>
      </c>
    </row>
    <row r="474" spans="2:4" ht="15" customHeight="1" x14ac:dyDescent="0.35">
      <c r="B474" s="28"/>
      <c r="C474" s="12">
        <v>835</v>
      </c>
      <c r="D474" s="96">
        <v>516</v>
      </c>
    </row>
    <row r="475" spans="2:4" ht="15" customHeight="1" thickBot="1" x14ac:dyDescent="0.4">
      <c r="B475" s="29"/>
      <c r="C475" s="132">
        <v>858</v>
      </c>
      <c r="D475" s="98">
        <v>518</v>
      </c>
    </row>
    <row r="476" spans="2:4" ht="15" customHeight="1" thickBot="1" x14ac:dyDescent="0.4"/>
    <row r="477" spans="2:4" ht="15" customHeight="1" x14ac:dyDescent="0.35">
      <c r="B477" s="30" t="s">
        <v>1771</v>
      </c>
      <c r="C477" s="130">
        <v>492</v>
      </c>
      <c r="D477" s="131">
        <v>341</v>
      </c>
    </row>
    <row r="478" spans="2:4" ht="15" customHeight="1" x14ac:dyDescent="0.35">
      <c r="B478" s="28"/>
      <c r="C478" s="12">
        <v>518</v>
      </c>
      <c r="D478" s="96">
        <v>356</v>
      </c>
    </row>
    <row r="479" spans="2:4" ht="15" customHeight="1" x14ac:dyDescent="0.35">
      <c r="B479" s="28"/>
      <c r="C479" s="12">
        <v>642</v>
      </c>
      <c r="D479" s="96">
        <v>381</v>
      </c>
    </row>
    <row r="480" spans="2:4" ht="15" customHeight="1" x14ac:dyDescent="0.35">
      <c r="B480" s="28"/>
      <c r="C480" s="12">
        <v>768</v>
      </c>
      <c r="D480" s="96">
        <v>409</v>
      </c>
    </row>
    <row r="481" spans="2:4" ht="15" customHeight="1" thickBot="1" x14ac:dyDescent="0.4">
      <c r="B481" s="29"/>
      <c r="C481" s="132">
        <v>786</v>
      </c>
      <c r="D481" s="98">
        <v>421</v>
      </c>
    </row>
    <row r="482" spans="2:4" ht="15" customHeight="1" thickBot="1" x14ac:dyDescent="0.4"/>
    <row r="483" spans="2:4" ht="15" customHeight="1" x14ac:dyDescent="0.35">
      <c r="B483" s="30" t="s">
        <v>1772</v>
      </c>
      <c r="C483" s="130">
        <v>536</v>
      </c>
      <c r="D483" s="131">
        <v>272</v>
      </c>
    </row>
    <row r="484" spans="2:4" ht="15" customHeight="1" x14ac:dyDescent="0.35">
      <c r="B484" s="28"/>
      <c r="C484" s="12">
        <v>548</v>
      </c>
      <c r="D484" s="96">
        <v>279</v>
      </c>
    </row>
    <row r="485" spans="2:4" ht="15" customHeight="1" x14ac:dyDescent="0.35">
      <c r="B485" s="28"/>
      <c r="C485" s="12">
        <v>571</v>
      </c>
      <c r="D485" s="96">
        <v>289</v>
      </c>
    </row>
    <row r="486" spans="2:4" ht="15" customHeight="1" x14ac:dyDescent="0.35">
      <c r="B486" s="28"/>
      <c r="C486" s="12">
        <v>618</v>
      </c>
      <c r="D486" s="96">
        <v>302</v>
      </c>
    </row>
    <row r="487" spans="2:4" ht="15" customHeight="1" x14ac:dyDescent="0.35">
      <c r="B487" s="28"/>
      <c r="C487" s="12">
        <v>662</v>
      </c>
      <c r="D487" s="96">
        <v>297</v>
      </c>
    </row>
    <row r="488" spans="2:4" ht="15" customHeight="1" x14ac:dyDescent="0.35">
      <c r="B488" s="28"/>
      <c r="C488" s="12">
        <v>689</v>
      </c>
      <c r="D488" s="96">
        <v>324</v>
      </c>
    </row>
    <row r="489" spans="2:4" ht="15" customHeight="1" x14ac:dyDescent="0.35">
      <c r="B489" s="28"/>
      <c r="C489" s="12">
        <v>721</v>
      </c>
      <c r="D489" s="96">
        <v>341</v>
      </c>
    </row>
    <row r="490" spans="2:4" ht="15" customHeight="1" x14ac:dyDescent="0.35">
      <c r="B490" s="28"/>
      <c r="C490" s="12">
        <v>758</v>
      </c>
      <c r="D490" s="96">
        <v>334</v>
      </c>
    </row>
    <row r="491" spans="2:4" ht="15" customHeight="1" thickBot="1" x14ac:dyDescent="0.4">
      <c r="B491" s="29"/>
      <c r="C491" s="132">
        <v>774</v>
      </c>
      <c r="D491" s="98">
        <v>357</v>
      </c>
    </row>
    <row r="492" spans="2:4" ht="15" customHeight="1" thickBot="1" x14ac:dyDescent="0.4"/>
    <row r="493" spans="2:4" ht="15" customHeight="1" x14ac:dyDescent="0.35">
      <c r="B493" s="30" t="s">
        <v>1773</v>
      </c>
      <c r="C493" s="130">
        <v>502</v>
      </c>
      <c r="D493" s="131">
        <v>314</v>
      </c>
    </row>
    <row r="494" spans="2:4" ht="15" customHeight="1" x14ac:dyDescent="0.35">
      <c r="B494" s="28"/>
      <c r="C494" s="12">
        <v>511</v>
      </c>
      <c r="D494" s="96">
        <v>319</v>
      </c>
    </row>
    <row r="495" spans="2:4" ht="15" customHeight="1" x14ac:dyDescent="0.35">
      <c r="B495" s="28"/>
      <c r="C495" s="12">
        <v>529</v>
      </c>
      <c r="D495" s="96">
        <v>322</v>
      </c>
    </row>
    <row r="496" spans="2:4" ht="15" customHeight="1" x14ac:dyDescent="0.35">
      <c r="B496" s="28"/>
      <c r="C496" s="12">
        <v>561</v>
      </c>
      <c r="D496" s="96">
        <v>325</v>
      </c>
    </row>
    <row r="497" spans="2:4" ht="15" customHeight="1" x14ac:dyDescent="0.35">
      <c r="B497" s="28"/>
      <c r="C497" s="12">
        <v>604</v>
      </c>
      <c r="D497" s="96">
        <v>329</v>
      </c>
    </row>
    <row r="498" spans="2:4" ht="15" customHeight="1" x14ac:dyDescent="0.35">
      <c r="B498" s="28"/>
      <c r="C498" s="12">
        <v>648</v>
      </c>
      <c r="D498" s="96">
        <v>324</v>
      </c>
    </row>
    <row r="499" spans="2:4" ht="15" customHeight="1" x14ac:dyDescent="0.35">
      <c r="B499" s="28"/>
      <c r="C499" s="12">
        <v>687</v>
      </c>
      <c r="D499" s="96">
        <v>332</v>
      </c>
    </row>
    <row r="500" spans="2:4" ht="15" customHeight="1" x14ac:dyDescent="0.35">
      <c r="B500" s="28"/>
      <c r="C500" s="12">
        <v>724</v>
      </c>
      <c r="D500" s="96">
        <v>334</v>
      </c>
    </row>
    <row r="501" spans="2:4" ht="15" customHeight="1" x14ac:dyDescent="0.35">
      <c r="B501" s="28"/>
      <c r="C501" s="12">
        <v>758</v>
      </c>
      <c r="D501" s="96">
        <v>338</v>
      </c>
    </row>
    <row r="502" spans="2:4" ht="15" customHeight="1" thickBot="1" x14ac:dyDescent="0.4">
      <c r="B502" s="29"/>
      <c r="C502" s="132">
        <v>776</v>
      </c>
      <c r="D502" s="98">
        <v>342</v>
      </c>
    </row>
    <row r="503" spans="2:4" ht="15" customHeight="1" thickBot="1" x14ac:dyDescent="0.4"/>
    <row r="504" spans="2:4" ht="15" customHeight="1" x14ac:dyDescent="0.35">
      <c r="B504" s="30" t="s">
        <v>1627</v>
      </c>
      <c r="C504" s="130">
        <v>362</v>
      </c>
      <c r="D504" s="131">
        <v>241</v>
      </c>
    </row>
    <row r="505" spans="2:4" ht="15" customHeight="1" x14ac:dyDescent="0.35">
      <c r="B505" s="28"/>
      <c r="C505" s="12">
        <v>381</v>
      </c>
      <c r="D505" s="96">
        <v>249</v>
      </c>
    </row>
    <row r="506" spans="2:4" ht="15" customHeight="1" x14ac:dyDescent="0.35">
      <c r="B506" s="28"/>
      <c r="C506" s="12">
        <v>417</v>
      </c>
      <c r="D506" s="96">
        <v>263</v>
      </c>
    </row>
    <row r="507" spans="2:4" ht="15" customHeight="1" x14ac:dyDescent="0.35">
      <c r="B507" s="28"/>
      <c r="C507" s="12">
        <v>452</v>
      </c>
      <c r="D507" s="96">
        <v>276</v>
      </c>
    </row>
    <row r="508" spans="2:4" ht="15" customHeight="1" x14ac:dyDescent="0.35">
      <c r="B508" s="28"/>
      <c r="C508" s="12">
        <v>489</v>
      </c>
      <c r="D508" s="96">
        <v>268</v>
      </c>
    </row>
    <row r="509" spans="2:4" ht="15" customHeight="1" x14ac:dyDescent="0.35">
      <c r="B509" s="28"/>
      <c r="C509" s="12">
        <v>538</v>
      </c>
      <c r="D509" s="96">
        <v>301</v>
      </c>
    </row>
    <row r="510" spans="2:4" ht="15" customHeight="1" thickBot="1" x14ac:dyDescent="0.4">
      <c r="B510" s="29"/>
      <c r="C510" s="132">
        <v>521</v>
      </c>
      <c r="D510" s="98">
        <v>292</v>
      </c>
    </row>
    <row r="511" spans="2:4" ht="15" customHeight="1" thickBot="1" x14ac:dyDescent="0.4"/>
    <row r="512" spans="2:4" ht="15" customHeight="1" x14ac:dyDescent="0.35">
      <c r="B512" s="30" t="s">
        <v>1774</v>
      </c>
      <c r="C512" s="130">
        <v>341</v>
      </c>
      <c r="D512" s="131">
        <v>220</v>
      </c>
    </row>
    <row r="513" spans="2:4" ht="15" customHeight="1" x14ac:dyDescent="0.35">
      <c r="B513" s="28"/>
      <c r="C513" s="12">
        <v>346</v>
      </c>
      <c r="D513" s="96">
        <v>212</v>
      </c>
    </row>
    <row r="514" spans="2:4" ht="15" customHeight="1" x14ac:dyDescent="0.35">
      <c r="B514" s="28"/>
      <c r="C514" s="12">
        <v>347</v>
      </c>
      <c r="D514" s="96">
        <v>175</v>
      </c>
    </row>
    <row r="515" spans="2:4" ht="15" customHeight="1" x14ac:dyDescent="0.35">
      <c r="B515" s="28"/>
      <c r="C515" s="12">
        <v>356</v>
      </c>
      <c r="D515" s="96">
        <v>223</v>
      </c>
    </row>
    <row r="516" spans="2:4" ht="15" customHeight="1" x14ac:dyDescent="0.35">
      <c r="B516" s="28"/>
      <c r="C516" s="12">
        <v>361</v>
      </c>
      <c r="D516" s="96">
        <v>232</v>
      </c>
    </row>
    <row r="517" spans="2:4" ht="15" customHeight="1" x14ac:dyDescent="0.35">
      <c r="B517" s="28"/>
      <c r="C517" s="12">
        <v>362</v>
      </c>
      <c r="D517" s="96">
        <v>201</v>
      </c>
    </row>
    <row r="518" spans="2:4" ht="15" customHeight="1" x14ac:dyDescent="0.35">
      <c r="B518" s="28"/>
      <c r="C518" s="12">
        <v>362</v>
      </c>
      <c r="D518" s="96">
        <v>233</v>
      </c>
    </row>
    <row r="519" spans="2:4" ht="15" customHeight="1" x14ac:dyDescent="0.35">
      <c r="B519" s="28"/>
      <c r="C519" s="12">
        <v>365</v>
      </c>
      <c r="D519" s="96">
        <v>216</v>
      </c>
    </row>
    <row r="520" spans="2:4" ht="15" customHeight="1" x14ac:dyDescent="0.35">
      <c r="B520" s="28"/>
      <c r="C520" s="12">
        <v>366</v>
      </c>
      <c r="D520" s="96">
        <v>199</v>
      </c>
    </row>
    <row r="521" spans="2:4" ht="15" customHeight="1" x14ac:dyDescent="0.35">
      <c r="B521" s="28"/>
      <c r="C521" s="12">
        <v>374</v>
      </c>
      <c r="D521" s="96">
        <v>249</v>
      </c>
    </row>
    <row r="522" spans="2:4" ht="15" customHeight="1" x14ac:dyDescent="0.35">
      <c r="B522" s="28"/>
      <c r="C522" s="12">
        <v>377</v>
      </c>
      <c r="D522" s="96">
        <v>222</v>
      </c>
    </row>
    <row r="523" spans="2:4" ht="15" customHeight="1" x14ac:dyDescent="0.35">
      <c r="B523" s="28"/>
      <c r="C523" s="12">
        <v>380</v>
      </c>
      <c r="D523" s="96">
        <v>229</v>
      </c>
    </row>
    <row r="524" spans="2:4" ht="15" customHeight="1" x14ac:dyDescent="0.35">
      <c r="B524" s="28"/>
      <c r="C524" s="12">
        <v>384</v>
      </c>
      <c r="D524" s="96">
        <v>246</v>
      </c>
    </row>
    <row r="525" spans="2:4" ht="15" customHeight="1" x14ac:dyDescent="0.35">
      <c r="B525" s="28"/>
      <c r="C525" s="12">
        <v>387</v>
      </c>
      <c r="D525" s="96">
        <v>242</v>
      </c>
    </row>
    <row r="526" spans="2:4" ht="15" customHeight="1" x14ac:dyDescent="0.35">
      <c r="B526" s="28"/>
      <c r="C526" s="12">
        <v>388</v>
      </c>
      <c r="D526" s="96">
        <v>280</v>
      </c>
    </row>
    <row r="527" spans="2:4" ht="15" customHeight="1" x14ac:dyDescent="0.35">
      <c r="B527" s="28"/>
      <c r="C527" s="12">
        <v>397</v>
      </c>
      <c r="D527" s="96">
        <v>252</v>
      </c>
    </row>
    <row r="528" spans="2:4" ht="15" customHeight="1" x14ac:dyDescent="0.35">
      <c r="B528" s="28"/>
      <c r="C528" s="12">
        <v>409</v>
      </c>
      <c r="D528" s="96">
        <v>272</v>
      </c>
    </row>
    <row r="529" spans="2:4" ht="15" customHeight="1" x14ac:dyDescent="0.35">
      <c r="B529" s="28"/>
      <c r="C529" s="12">
        <v>414</v>
      </c>
      <c r="D529" s="96">
        <v>239</v>
      </c>
    </row>
    <row r="530" spans="2:4" ht="15" customHeight="1" x14ac:dyDescent="0.35">
      <c r="B530" s="28"/>
      <c r="C530" s="12">
        <v>421</v>
      </c>
      <c r="D530" s="96">
        <v>272</v>
      </c>
    </row>
    <row r="531" spans="2:4" ht="15" customHeight="1" x14ac:dyDescent="0.35">
      <c r="B531" s="28"/>
      <c r="C531" s="12">
        <v>424</v>
      </c>
      <c r="D531" s="96">
        <v>253</v>
      </c>
    </row>
    <row r="532" spans="2:4" ht="15" customHeight="1" x14ac:dyDescent="0.35">
      <c r="B532" s="28"/>
      <c r="C532" s="12">
        <v>432</v>
      </c>
      <c r="D532" s="96">
        <v>291</v>
      </c>
    </row>
    <row r="533" spans="2:4" ht="15" customHeight="1" x14ac:dyDescent="0.35">
      <c r="B533" s="28"/>
      <c r="C533" s="12">
        <v>445</v>
      </c>
      <c r="D533" s="96">
        <v>232</v>
      </c>
    </row>
    <row r="534" spans="2:4" ht="15" customHeight="1" x14ac:dyDescent="0.35">
      <c r="B534" s="28"/>
      <c r="C534" s="12">
        <v>451</v>
      </c>
      <c r="D534" s="96">
        <v>298</v>
      </c>
    </row>
    <row r="535" spans="2:4" ht="15" customHeight="1" x14ac:dyDescent="0.35">
      <c r="B535" s="28"/>
      <c r="C535" s="12">
        <v>455</v>
      </c>
      <c r="D535" s="96">
        <v>306</v>
      </c>
    </row>
    <row r="536" spans="2:4" ht="15" customHeight="1" x14ac:dyDescent="0.35">
      <c r="B536" s="28"/>
      <c r="C536" s="12">
        <v>459</v>
      </c>
      <c r="D536" s="96">
        <v>296</v>
      </c>
    </row>
    <row r="537" spans="2:4" ht="15" customHeight="1" x14ac:dyDescent="0.35">
      <c r="B537" s="28"/>
      <c r="C537" s="12">
        <v>474</v>
      </c>
      <c r="D537" s="96">
        <v>216</v>
      </c>
    </row>
    <row r="538" spans="2:4" ht="15" customHeight="1" x14ac:dyDescent="0.35">
      <c r="B538" s="28"/>
      <c r="C538" s="12">
        <v>474</v>
      </c>
      <c r="D538" s="96">
        <v>287</v>
      </c>
    </row>
    <row r="539" spans="2:4" ht="15" customHeight="1" x14ac:dyDescent="0.35">
      <c r="B539" s="28"/>
      <c r="C539" s="12">
        <v>477</v>
      </c>
      <c r="D539" s="96">
        <v>309</v>
      </c>
    </row>
    <row r="540" spans="2:4" ht="15" customHeight="1" x14ac:dyDescent="0.35">
      <c r="B540" s="28"/>
      <c r="C540" s="12">
        <v>488</v>
      </c>
      <c r="D540" s="96">
        <v>280</v>
      </c>
    </row>
    <row r="541" spans="2:4" ht="15" customHeight="1" x14ac:dyDescent="0.35">
      <c r="B541" s="28"/>
      <c r="C541" s="12">
        <v>494</v>
      </c>
      <c r="D541" s="96">
        <v>341</v>
      </c>
    </row>
    <row r="542" spans="2:4" ht="15" customHeight="1" x14ac:dyDescent="0.35">
      <c r="B542" s="28"/>
      <c r="C542" s="12">
        <v>515</v>
      </c>
      <c r="D542" s="96">
        <v>280</v>
      </c>
    </row>
    <row r="543" spans="2:4" ht="15" customHeight="1" x14ac:dyDescent="0.35">
      <c r="B543" s="28"/>
      <c r="C543" s="12">
        <v>555</v>
      </c>
      <c r="D543" s="96">
        <v>398</v>
      </c>
    </row>
    <row r="544" spans="2:4" ht="15" customHeight="1" x14ac:dyDescent="0.35">
      <c r="B544" s="28"/>
      <c r="C544" s="12">
        <v>558</v>
      </c>
      <c r="D544" s="96">
        <v>390</v>
      </c>
    </row>
    <row r="545" spans="2:4" ht="15" customHeight="1" x14ac:dyDescent="0.35">
      <c r="B545" s="28"/>
      <c r="C545" s="12">
        <v>558</v>
      </c>
      <c r="D545" s="96">
        <v>407</v>
      </c>
    </row>
    <row r="546" spans="2:4" ht="15" customHeight="1" x14ac:dyDescent="0.35">
      <c r="B546" s="28"/>
      <c r="C546" s="12">
        <v>559</v>
      </c>
      <c r="D546" s="96">
        <v>407</v>
      </c>
    </row>
    <row r="547" spans="2:4" ht="15" customHeight="1" x14ac:dyDescent="0.35">
      <c r="B547" s="28"/>
      <c r="C547" s="12">
        <v>566</v>
      </c>
      <c r="D547" s="96">
        <v>322</v>
      </c>
    </row>
    <row r="548" spans="2:4" ht="15" customHeight="1" x14ac:dyDescent="0.35">
      <c r="B548" s="28"/>
      <c r="C548" s="12">
        <v>568</v>
      </c>
      <c r="D548" s="96">
        <v>343</v>
      </c>
    </row>
    <row r="549" spans="2:4" ht="15" customHeight="1" x14ac:dyDescent="0.35">
      <c r="B549" s="28"/>
      <c r="C549" s="12">
        <v>618</v>
      </c>
      <c r="D549" s="96">
        <v>355</v>
      </c>
    </row>
    <row r="550" spans="2:4" ht="15" customHeight="1" thickBot="1" x14ac:dyDescent="0.4">
      <c r="B550" s="29"/>
      <c r="C550" s="132">
        <v>621</v>
      </c>
      <c r="D550" s="98">
        <v>392</v>
      </c>
    </row>
    <row r="551" spans="2:4" ht="15" customHeight="1" thickBot="1" x14ac:dyDescent="0.4"/>
    <row r="552" spans="2:4" ht="15" customHeight="1" x14ac:dyDescent="0.35">
      <c r="B552" s="30" t="s">
        <v>1775</v>
      </c>
      <c r="C552" s="130">
        <v>528</v>
      </c>
      <c r="D552" s="131">
        <v>284</v>
      </c>
    </row>
    <row r="553" spans="2:4" ht="15" customHeight="1" x14ac:dyDescent="0.35">
      <c r="B553" s="28"/>
      <c r="C553" s="12">
        <v>546</v>
      </c>
      <c r="D553" s="96">
        <v>301</v>
      </c>
    </row>
    <row r="554" spans="2:4" ht="15" customHeight="1" x14ac:dyDescent="0.35">
      <c r="B554" s="28"/>
      <c r="C554" s="12">
        <v>571</v>
      </c>
      <c r="D554" s="96">
        <v>326</v>
      </c>
    </row>
    <row r="555" spans="2:4" ht="15" customHeight="1" x14ac:dyDescent="0.35">
      <c r="B555" s="28"/>
      <c r="C555" s="12">
        <v>596</v>
      </c>
      <c r="D555" s="96">
        <v>348</v>
      </c>
    </row>
    <row r="556" spans="2:4" ht="15" customHeight="1" x14ac:dyDescent="0.35">
      <c r="B556" s="28"/>
      <c r="C556" s="12">
        <v>622</v>
      </c>
      <c r="D556" s="96">
        <v>339</v>
      </c>
    </row>
    <row r="557" spans="2:4" ht="15" customHeight="1" x14ac:dyDescent="0.35">
      <c r="B557" s="28"/>
      <c r="C557" s="12">
        <v>641</v>
      </c>
      <c r="D557" s="96">
        <v>366</v>
      </c>
    </row>
    <row r="558" spans="2:4" ht="15" customHeight="1" x14ac:dyDescent="0.35">
      <c r="B558" s="28"/>
      <c r="C558" s="12">
        <v>659</v>
      </c>
      <c r="D558" s="96">
        <v>357</v>
      </c>
    </row>
    <row r="559" spans="2:4" ht="15" customHeight="1" x14ac:dyDescent="0.35">
      <c r="B559" s="28"/>
      <c r="C559" s="12">
        <v>676</v>
      </c>
      <c r="D559" s="96">
        <v>389</v>
      </c>
    </row>
    <row r="560" spans="2:4" ht="15" customHeight="1" thickBot="1" x14ac:dyDescent="0.4">
      <c r="B560" s="29"/>
      <c r="C560" s="132">
        <v>692</v>
      </c>
      <c r="D560" s="98">
        <v>381</v>
      </c>
    </row>
    <row r="561" spans="2:4" ht="15" customHeight="1" thickBot="1" x14ac:dyDescent="0.4"/>
    <row r="562" spans="2:4" ht="15" customHeight="1" x14ac:dyDescent="0.35">
      <c r="B562" s="30" t="s">
        <v>1776</v>
      </c>
      <c r="C562" s="130">
        <v>545</v>
      </c>
      <c r="D562" s="131">
        <v>346</v>
      </c>
    </row>
    <row r="563" spans="2:4" ht="15" customHeight="1" x14ac:dyDescent="0.35">
      <c r="B563" s="28"/>
      <c r="C563" s="12">
        <v>556</v>
      </c>
      <c r="D563" s="96">
        <v>354</v>
      </c>
    </row>
    <row r="564" spans="2:4" ht="15" customHeight="1" x14ac:dyDescent="0.35">
      <c r="B564" s="28"/>
      <c r="C564" s="12">
        <v>563</v>
      </c>
      <c r="D564" s="96">
        <v>361</v>
      </c>
    </row>
    <row r="565" spans="2:4" ht="15" customHeight="1" x14ac:dyDescent="0.35">
      <c r="B565" s="28"/>
      <c r="C565" s="12">
        <v>571</v>
      </c>
      <c r="D565" s="96">
        <v>372</v>
      </c>
    </row>
    <row r="566" spans="2:4" ht="15" customHeight="1" x14ac:dyDescent="0.35">
      <c r="B566" s="28"/>
      <c r="C566" s="12">
        <v>578</v>
      </c>
      <c r="D566" s="96">
        <v>366</v>
      </c>
    </row>
    <row r="567" spans="2:4" ht="15" customHeight="1" x14ac:dyDescent="0.35">
      <c r="B567" s="28"/>
      <c r="C567" s="12">
        <v>584</v>
      </c>
      <c r="D567" s="96">
        <v>381</v>
      </c>
    </row>
    <row r="568" spans="2:4" ht="15" customHeight="1" x14ac:dyDescent="0.35">
      <c r="B568" s="28"/>
      <c r="C568" s="12">
        <v>590</v>
      </c>
      <c r="D568" s="96">
        <v>376</v>
      </c>
    </row>
    <row r="569" spans="2:4" ht="15" customHeight="1" x14ac:dyDescent="0.35">
      <c r="B569" s="28"/>
      <c r="C569" s="12">
        <v>596</v>
      </c>
      <c r="D569" s="96">
        <v>392</v>
      </c>
    </row>
    <row r="570" spans="2:4" ht="15" customHeight="1" x14ac:dyDescent="0.35">
      <c r="B570" s="28"/>
      <c r="C570" s="12">
        <v>603</v>
      </c>
      <c r="D570" s="96">
        <v>389</v>
      </c>
    </row>
    <row r="571" spans="2:4" ht="15" customHeight="1" thickBot="1" x14ac:dyDescent="0.4">
      <c r="B571" s="29"/>
      <c r="C571" s="132">
        <v>608</v>
      </c>
      <c r="D571" s="98">
        <v>404</v>
      </c>
    </row>
    <row r="572" spans="2:4" ht="15" customHeight="1" thickBot="1" x14ac:dyDescent="0.4"/>
    <row r="573" spans="2:4" ht="15" customHeight="1" x14ac:dyDescent="0.35">
      <c r="B573" s="30" t="s">
        <v>1673</v>
      </c>
      <c r="C573" s="130">
        <v>383</v>
      </c>
      <c r="D573" s="131">
        <v>210</v>
      </c>
    </row>
    <row r="574" spans="2:4" ht="15" customHeight="1" x14ac:dyDescent="0.35">
      <c r="B574" s="28"/>
      <c r="C574" s="12">
        <v>375</v>
      </c>
      <c r="D574" s="96">
        <v>201</v>
      </c>
    </row>
    <row r="575" spans="2:4" ht="15" customHeight="1" x14ac:dyDescent="0.35">
      <c r="B575" s="28"/>
      <c r="C575" s="12">
        <v>442</v>
      </c>
      <c r="D575" s="96">
        <v>223</v>
      </c>
    </row>
    <row r="576" spans="2:4" ht="15" customHeight="1" x14ac:dyDescent="0.35">
      <c r="B576" s="28"/>
      <c r="C576" s="12">
        <v>451</v>
      </c>
      <c r="D576" s="96">
        <v>227</v>
      </c>
    </row>
    <row r="577" spans="2:4" ht="15" customHeight="1" x14ac:dyDescent="0.35">
      <c r="B577" s="28"/>
      <c r="C577" s="12">
        <v>454</v>
      </c>
      <c r="D577" s="96">
        <v>225</v>
      </c>
    </row>
    <row r="578" spans="2:4" ht="15" customHeight="1" thickBot="1" x14ac:dyDescent="0.4">
      <c r="B578" s="29"/>
      <c r="C578" s="132">
        <v>459</v>
      </c>
      <c r="D578" s="98">
        <v>231</v>
      </c>
    </row>
    <row r="579" spans="2:4" ht="15" customHeight="1" thickBot="1" x14ac:dyDescent="0.4"/>
    <row r="580" spans="2:4" ht="15" customHeight="1" x14ac:dyDescent="0.35">
      <c r="B580" s="30" t="s">
        <v>1777</v>
      </c>
      <c r="C580" s="130">
        <v>318</v>
      </c>
      <c r="D580" s="131">
        <v>225</v>
      </c>
    </row>
    <row r="581" spans="2:4" ht="15" customHeight="1" x14ac:dyDescent="0.35">
      <c r="B581" s="28"/>
      <c r="C581" s="12">
        <v>314</v>
      </c>
      <c r="D581" s="96">
        <v>223</v>
      </c>
    </row>
    <row r="582" spans="2:4" ht="15" customHeight="1" x14ac:dyDescent="0.35">
      <c r="B582" s="28"/>
      <c r="C582" s="12">
        <v>351</v>
      </c>
      <c r="D582" s="96">
        <v>259</v>
      </c>
    </row>
    <row r="583" spans="2:4" ht="15" customHeight="1" x14ac:dyDescent="0.35">
      <c r="B583" s="28"/>
      <c r="C583" s="12">
        <v>361</v>
      </c>
      <c r="D583" s="96">
        <v>263</v>
      </c>
    </row>
    <row r="584" spans="2:4" ht="15" customHeight="1" x14ac:dyDescent="0.35">
      <c r="B584" s="28"/>
      <c r="C584" s="12">
        <v>377</v>
      </c>
      <c r="D584" s="96">
        <v>260</v>
      </c>
    </row>
    <row r="585" spans="2:4" ht="15" customHeight="1" x14ac:dyDescent="0.35">
      <c r="B585" s="28"/>
      <c r="C585" s="12">
        <v>675</v>
      </c>
      <c r="D585" s="96">
        <v>476</v>
      </c>
    </row>
    <row r="586" spans="2:4" ht="15" customHeight="1" x14ac:dyDescent="0.35">
      <c r="B586" s="28"/>
      <c r="C586" s="12">
        <v>703</v>
      </c>
      <c r="D586" s="96">
        <v>533</v>
      </c>
    </row>
    <row r="587" spans="2:4" ht="15" customHeight="1" x14ac:dyDescent="0.35">
      <c r="B587" s="28"/>
      <c r="C587" s="12">
        <v>626</v>
      </c>
      <c r="D587" s="96">
        <v>501</v>
      </c>
    </row>
    <row r="588" spans="2:4" ht="15" customHeight="1" x14ac:dyDescent="0.35">
      <c r="B588" s="28"/>
      <c r="C588" s="12">
        <v>631</v>
      </c>
      <c r="D588" s="96">
        <v>491</v>
      </c>
    </row>
    <row r="589" spans="2:4" ht="15" customHeight="1" x14ac:dyDescent="0.35">
      <c r="B589" s="28"/>
      <c r="C589" s="12">
        <v>733</v>
      </c>
      <c r="D589" s="96">
        <v>542</v>
      </c>
    </row>
    <row r="590" spans="2:4" ht="15" customHeight="1" x14ac:dyDescent="0.35">
      <c r="B590" s="28"/>
      <c r="C590" s="12">
        <v>745</v>
      </c>
      <c r="D590" s="96">
        <v>258</v>
      </c>
    </row>
    <row r="591" spans="2:4" ht="15" customHeight="1" x14ac:dyDescent="0.35">
      <c r="B591" s="28"/>
      <c r="C591" s="12">
        <v>388</v>
      </c>
      <c r="D591" s="96">
        <v>448</v>
      </c>
    </row>
    <row r="592" spans="2:4" ht="15" customHeight="1" x14ac:dyDescent="0.35">
      <c r="B592" s="28"/>
      <c r="C592" s="12">
        <v>412</v>
      </c>
      <c r="D592" s="96">
        <v>462</v>
      </c>
    </row>
    <row r="593" spans="2:4" ht="15" customHeight="1" x14ac:dyDescent="0.35">
      <c r="B593" s="28"/>
      <c r="C593" s="12">
        <v>436</v>
      </c>
      <c r="D593" s="96">
        <v>478</v>
      </c>
    </row>
    <row r="594" spans="2:4" ht="15" customHeight="1" x14ac:dyDescent="0.35">
      <c r="B594" s="28"/>
      <c r="C594" s="12">
        <v>458</v>
      </c>
      <c r="D594" s="96">
        <v>469</v>
      </c>
    </row>
    <row r="595" spans="2:4" ht="15" customHeight="1" x14ac:dyDescent="0.35">
      <c r="B595" s="28"/>
      <c r="C595" s="12">
        <v>472</v>
      </c>
      <c r="D595" s="96">
        <v>489</v>
      </c>
    </row>
    <row r="596" spans="2:4" ht="15" customHeight="1" x14ac:dyDescent="0.35">
      <c r="B596" s="28"/>
      <c r="C596" s="12">
        <v>491</v>
      </c>
      <c r="D596" s="96">
        <v>483</v>
      </c>
    </row>
    <row r="597" spans="2:4" ht="15" customHeight="1" x14ac:dyDescent="0.35">
      <c r="B597" s="28"/>
      <c r="C597" s="12">
        <v>514</v>
      </c>
      <c r="D597" s="96">
        <v>507</v>
      </c>
    </row>
    <row r="598" spans="2:4" ht="15" customHeight="1" x14ac:dyDescent="0.35">
      <c r="B598" s="28"/>
      <c r="C598" s="12">
        <v>533</v>
      </c>
      <c r="D598" s="96">
        <v>498</v>
      </c>
    </row>
    <row r="599" spans="2:4" ht="15" customHeight="1" x14ac:dyDescent="0.35">
      <c r="B599" s="28"/>
      <c r="C599" s="12">
        <v>552</v>
      </c>
      <c r="D599" s="96">
        <v>521</v>
      </c>
    </row>
    <row r="600" spans="2:4" ht="15" customHeight="1" x14ac:dyDescent="0.35">
      <c r="B600" s="28"/>
      <c r="C600" s="12">
        <v>571</v>
      </c>
      <c r="D600" s="96">
        <v>516</v>
      </c>
    </row>
    <row r="601" spans="2:4" ht="15" customHeight="1" x14ac:dyDescent="0.35">
      <c r="B601" s="28"/>
      <c r="C601" s="12">
        <v>589</v>
      </c>
      <c r="D601" s="96">
        <v>531</v>
      </c>
    </row>
    <row r="602" spans="2:4" ht="15" customHeight="1" thickBot="1" x14ac:dyDescent="0.4">
      <c r="B602" s="29"/>
      <c r="C602" s="132">
        <v>603</v>
      </c>
      <c r="D602" s="98">
        <v>524</v>
      </c>
    </row>
    <row r="603" spans="2:4" ht="15" customHeight="1" thickBot="1" x14ac:dyDescent="0.4"/>
    <row r="604" spans="2:4" ht="15" customHeight="1" x14ac:dyDescent="0.35">
      <c r="B604" s="30" t="s">
        <v>1778</v>
      </c>
      <c r="C604" s="130">
        <v>381</v>
      </c>
      <c r="D604" s="131">
        <v>286</v>
      </c>
    </row>
    <row r="605" spans="2:4" ht="15" customHeight="1" x14ac:dyDescent="0.35">
      <c r="B605" s="28"/>
      <c r="C605" s="12">
        <v>395</v>
      </c>
      <c r="D605" s="96">
        <v>280</v>
      </c>
    </row>
    <row r="606" spans="2:4" ht="15" customHeight="1" x14ac:dyDescent="0.35">
      <c r="B606" s="28"/>
      <c r="C606" s="12">
        <v>416</v>
      </c>
      <c r="D606" s="96">
        <v>297</v>
      </c>
    </row>
    <row r="607" spans="2:4" ht="15" customHeight="1" x14ac:dyDescent="0.35">
      <c r="B607" s="28"/>
      <c r="C607" s="12">
        <v>420</v>
      </c>
      <c r="D607" s="96">
        <v>316</v>
      </c>
    </row>
    <row r="608" spans="2:4" ht="15" customHeight="1" x14ac:dyDescent="0.35">
      <c r="B608" s="28"/>
      <c r="C608" s="12">
        <v>433</v>
      </c>
      <c r="D608" s="96">
        <v>311</v>
      </c>
    </row>
    <row r="609" spans="2:4" ht="15" customHeight="1" x14ac:dyDescent="0.35">
      <c r="B609" s="28"/>
      <c r="C609" s="12">
        <v>446</v>
      </c>
      <c r="D609" s="96">
        <v>300</v>
      </c>
    </row>
    <row r="610" spans="2:4" ht="15" customHeight="1" x14ac:dyDescent="0.35">
      <c r="B610" s="28"/>
      <c r="C610" s="12">
        <v>452</v>
      </c>
      <c r="D610" s="96">
        <v>259</v>
      </c>
    </row>
    <row r="611" spans="2:4" ht="15" customHeight="1" x14ac:dyDescent="0.35">
      <c r="B611" s="28"/>
      <c r="C611" s="12">
        <v>472</v>
      </c>
      <c r="D611" s="96">
        <v>282</v>
      </c>
    </row>
    <row r="612" spans="2:4" ht="15" customHeight="1" x14ac:dyDescent="0.35">
      <c r="B612" s="28"/>
      <c r="C612" s="12">
        <v>484</v>
      </c>
      <c r="D612" s="96">
        <v>286</v>
      </c>
    </row>
    <row r="613" spans="2:4" ht="15" customHeight="1" x14ac:dyDescent="0.35">
      <c r="B613" s="28"/>
      <c r="C613" s="12">
        <v>501</v>
      </c>
      <c r="D613" s="96">
        <v>291</v>
      </c>
    </row>
    <row r="614" spans="2:4" ht="15" customHeight="1" x14ac:dyDescent="0.35">
      <c r="B614" s="28"/>
      <c r="C614" s="12">
        <v>653</v>
      </c>
      <c r="D614" s="96">
        <v>445</v>
      </c>
    </row>
    <row r="615" spans="2:4" ht="15" customHeight="1" x14ac:dyDescent="0.35">
      <c r="B615" s="28"/>
      <c r="C615" s="12">
        <v>672</v>
      </c>
      <c r="D615" s="96">
        <v>490</v>
      </c>
    </row>
    <row r="616" spans="2:4" ht="15" customHeight="1" x14ac:dyDescent="0.35">
      <c r="B616" s="28"/>
      <c r="C616" s="12">
        <v>700</v>
      </c>
      <c r="D616" s="96">
        <v>490</v>
      </c>
    </row>
    <row r="617" spans="2:4" ht="15" customHeight="1" x14ac:dyDescent="0.35">
      <c r="B617" s="28"/>
      <c r="C617" s="12">
        <v>707</v>
      </c>
      <c r="D617" s="96">
        <v>401</v>
      </c>
    </row>
    <row r="618" spans="2:4" ht="15" customHeight="1" x14ac:dyDescent="0.35">
      <c r="B618" s="28"/>
      <c r="C618" s="12">
        <v>715</v>
      </c>
      <c r="D618" s="96">
        <v>481</v>
      </c>
    </row>
    <row r="619" spans="2:4" ht="15" customHeight="1" x14ac:dyDescent="0.35">
      <c r="B619" s="28"/>
      <c r="C619" s="12">
        <v>739</v>
      </c>
      <c r="D619" s="96">
        <v>506</v>
      </c>
    </row>
    <row r="620" spans="2:4" ht="15" customHeight="1" thickBot="1" x14ac:dyDescent="0.4">
      <c r="B620" s="29"/>
      <c r="C620" s="132">
        <v>763</v>
      </c>
      <c r="D620" s="98">
        <v>498</v>
      </c>
    </row>
    <row r="621" spans="2:4" ht="15" customHeight="1" thickBot="1" x14ac:dyDescent="0.4"/>
    <row r="622" spans="2:4" ht="15" customHeight="1" x14ac:dyDescent="0.35">
      <c r="B622" s="30" t="s">
        <v>1779</v>
      </c>
      <c r="C622" s="130">
        <v>358</v>
      </c>
      <c r="D622" s="131">
        <v>374</v>
      </c>
    </row>
    <row r="623" spans="2:4" ht="15" customHeight="1" x14ac:dyDescent="0.35">
      <c r="B623" s="28"/>
      <c r="C623" s="12">
        <v>389</v>
      </c>
      <c r="D623" s="96">
        <v>382</v>
      </c>
    </row>
    <row r="624" spans="2:4" ht="15" customHeight="1" x14ac:dyDescent="0.35">
      <c r="B624" s="28"/>
      <c r="C624" s="12">
        <v>431</v>
      </c>
      <c r="D624" s="96">
        <v>388</v>
      </c>
    </row>
    <row r="625" spans="2:4" ht="15" customHeight="1" x14ac:dyDescent="0.35">
      <c r="B625" s="28"/>
      <c r="C625" s="12">
        <v>476</v>
      </c>
      <c r="D625" s="96">
        <v>396</v>
      </c>
    </row>
    <row r="626" spans="2:4" ht="15" customHeight="1" x14ac:dyDescent="0.35">
      <c r="B626" s="28"/>
      <c r="C626" s="12">
        <v>522</v>
      </c>
      <c r="D626" s="96">
        <v>391</v>
      </c>
    </row>
    <row r="627" spans="2:4" ht="15" customHeight="1" x14ac:dyDescent="0.35">
      <c r="B627" s="28"/>
      <c r="C627" s="12">
        <v>568</v>
      </c>
      <c r="D627" s="96">
        <v>402</v>
      </c>
    </row>
    <row r="628" spans="2:4" ht="15" customHeight="1" x14ac:dyDescent="0.35">
      <c r="B628" s="28"/>
      <c r="C628" s="12">
        <v>612</v>
      </c>
      <c r="D628" s="96">
        <v>398</v>
      </c>
    </row>
    <row r="629" spans="2:4" ht="15" customHeight="1" thickBot="1" x14ac:dyDescent="0.4">
      <c r="B629" s="29"/>
      <c r="C629" s="132">
        <v>652</v>
      </c>
      <c r="D629" s="98">
        <v>409</v>
      </c>
    </row>
    <row r="630" spans="2:4" ht="15" customHeight="1" thickBot="1" x14ac:dyDescent="0.4"/>
    <row r="631" spans="2:4" ht="15" customHeight="1" x14ac:dyDescent="0.35">
      <c r="B631" s="30" t="s">
        <v>1780</v>
      </c>
      <c r="C631" s="130">
        <v>596</v>
      </c>
      <c r="D631" s="131">
        <v>396</v>
      </c>
    </row>
    <row r="632" spans="2:4" ht="15" customHeight="1" x14ac:dyDescent="0.35">
      <c r="B632" s="28"/>
      <c r="C632" s="12">
        <v>599</v>
      </c>
      <c r="D632" s="96">
        <v>417</v>
      </c>
    </row>
    <row r="633" spans="2:4" ht="15" customHeight="1" x14ac:dyDescent="0.35">
      <c r="B633" s="28"/>
      <c r="C633" s="12">
        <v>623</v>
      </c>
      <c r="D633" s="96">
        <v>435</v>
      </c>
    </row>
    <row r="634" spans="2:4" ht="15" customHeight="1" x14ac:dyDescent="0.35">
      <c r="B634" s="28"/>
      <c r="C634" s="12">
        <v>630</v>
      </c>
      <c r="D634" s="96">
        <v>403</v>
      </c>
    </row>
    <row r="635" spans="2:4" ht="15" customHeight="1" x14ac:dyDescent="0.35">
      <c r="B635" s="28"/>
      <c r="C635" s="12">
        <v>637</v>
      </c>
      <c r="D635" s="96">
        <v>406</v>
      </c>
    </row>
    <row r="636" spans="2:4" ht="15" customHeight="1" x14ac:dyDescent="0.35">
      <c r="B636" s="28"/>
      <c r="C636" s="12">
        <v>640</v>
      </c>
      <c r="D636" s="96">
        <v>398</v>
      </c>
    </row>
    <row r="637" spans="2:4" ht="15" customHeight="1" x14ac:dyDescent="0.35">
      <c r="B637" s="28"/>
      <c r="C637" s="12">
        <v>647</v>
      </c>
      <c r="D637" s="96">
        <v>444</v>
      </c>
    </row>
    <row r="638" spans="2:4" ht="15" customHeight="1" x14ac:dyDescent="0.35">
      <c r="B638" s="28"/>
      <c r="C638" s="12">
        <v>652</v>
      </c>
      <c r="D638" s="96">
        <v>438</v>
      </c>
    </row>
    <row r="639" spans="2:4" ht="15" customHeight="1" x14ac:dyDescent="0.35">
      <c r="B639" s="28"/>
      <c r="C639" s="12">
        <v>655</v>
      </c>
      <c r="D639" s="96">
        <v>438</v>
      </c>
    </row>
    <row r="640" spans="2:4" ht="15" customHeight="1" x14ac:dyDescent="0.35">
      <c r="B640" s="28"/>
      <c r="C640" s="12">
        <v>658</v>
      </c>
      <c r="D640" s="96">
        <v>428</v>
      </c>
    </row>
    <row r="641" spans="2:4" ht="15" customHeight="1" x14ac:dyDescent="0.35">
      <c r="B641" s="28"/>
      <c r="C641" s="12">
        <v>659</v>
      </c>
      <c r="D641" s="96">
        <v>452</v>
      </c>
    </row>
    <row r="642" spans="2:4" ht="15" customHeight="1" x14ac:dyDescent="0.35">
      <c r="B642" s="28"/>
      <c r="C642" s="12">
        <v>664</v>
      </c>
      <c r="D642" s="96">
        <v>426</v>
      </c>
    </row>
    <row r="643" spans="2:4" ht="15" customHeight="1" x14ac:dyDescent="0.35">
      <c r="B643" s="28"/>
      <c r="C643" s="12">
        <v>674</v>
      </c>
      <c r="D643" s="96">
        <v>463</v>
      </c>
    </row>
    <row r="644" spans="2:4" ht="15" customHeight="1" x14ac:dyDescent="0.35">
      <c r="B644" s="28"/>
      <c r="C644" s="12">
        <v>675</v>
      </c>
      <c r="D644" s="96">
        <v>436</v>
      </c>
    </row>
    <row r="645" spans="2:4" ht="15" customHeight="1" x14ac:dyDescent="0.35">
      <c r="B645" s="28"/>
      <c r="C645" s="12">
        <v>677</v>
      </c>
      <c r="D645" s="96">
        <v>437</v>
      </c>
    </row>
    <row r="646" spans="2:4" ht="15" customHeight="1" x14ac:dyDescent="0.35">
      <c r="B646" s="28"/>
      <c r="C646" s="12">
        <v>682</v>
      </c>
      <c r="D646" s="96">
        <v>356</v>
      </c>
    </row>
    <row r="647" spans="2:4" ht="15" customHeight="1" x14ac:dyDescent="0.35">
      <c r="B647" s="28"/>
      <c r="C647" s="12">
        <v>686</v>
      </c>
      <c r="D647" s="96">
        <v>445</v>
      </c>
    </row>
    <row r="648" spans="2:4" ht="15" customHeight="1" x14ac:dyDescent="0.35">
      <c r="B648" s="28"/>
      <c r="C648" s="12">
        <v>699</v>
      </c>
      <c r="D648" s="96">
        <v>525</v>
      </c>
    </row>
    <row r="649" spans="2:4" ht="15" customHeight="1" x14ac:dyDescent="0.35">
      <c r="B649" s="28"/>
      <c r="C649" s="12">
        <v>701</v>
      </c>
      <c r="D649" s="96">
        <v>462</v>
      </c>
    </row>
    <row r="650" spans="2:4" ht="15" customHeight="1" x14ac:dyDescent="0.35">
      <c r="B650" s="28"/>
      <c r="C650" s="12">
        <v>701</v>
      </c>
      <c r="D650" s="96">
        <v>456</v>
      </c>
    </row>
    <row r="651" spans="2:4" ht="15" customHeight="1" x14ac:dyDescent="0.35">
      <c r="B651" s="28"/>
      <c r="C651" s="12">
        <v>704</v>
      </c>
      <c r="D651" s="96">
        <v>477</v>
      </c>
    </row>
    <row r="652" spans="2:4" ht="15" customHeight="1" x14ac:dyDescent="0.35">
      <c r="B652" s="28"/>
      <c r="C652" s="12">
        <v>710</v>
      </c>
      <c r="D652" s="96">
        <v>460</v>
      </c>
    </row>
    <row r="653" spans="2:4" ht="15" customHeight="1" x14ac:dyDescent="0.35">
      <c r="B653" s="28"/>
      <c r="C653" s="12">
        <v>711</v>
      </c>
      <c r="D653" s="96">
        <v>470</v>
      </c>
    </row>
    <row r="654" spans="2:4" ht="15" customHeight="1" x14ac:dyDescent="0.35">
      <c r="B654" s="28"/>
      <c r="C654" s="12">
        <v>720</v>
      </c>
      <c r="D654" s="96">
        <v>483</v>
      </c>
    </row>
    <row r="655" spans="2:4" ht="15" customHeight="1" x14ac:dyDescent="0.35">
      <c r="B655" s="28"/>
      <c r="C655" s="12">
        <v>722</v>
      </c>
      <c r="D655" s="96">
        <v>493</v>
      </c>
    </row>
    <row r="656" spans="2:4" ht="15" customHeight="1" x14ac:dyDescent="0.35">
      <c r="B656" s="28"/>
      <c r="C656" s="12">
        <v>727</v>
      </c>
      <c r="D656" s="96">
        <v>480</v>
      </c>
    </row>
    <row r="657" spans="2:4" ht="15" customHeight="1" x14ac:dyDescent="0.35">
      <c r="B657" s="28"/>
      <c r="C657" s="12">
        <v>728</v>
      </c>
      <c r="D657" s="96">
        <v>478</v>
      </c>
    </row>
    <row r="658" spans="2:4" ht="15" customHeight="1" x14ac:dyDescent="0.35">
      <c r="B658" s="28"/>
      <c r="C658" s="12">
        <v>748</v>
      </c>
      <c r="D658" s="96">
        <v>523</v>
      </c>
    </row>
    <row r="659" spans="2:4" ht="15" customHeight="1" thickBot="1" x14ac:dyDescent="0.4">
      <c r="B659" s="29"/>
      <c r="C659" s="132">
        <v>753</v>
      </c>
      <c r="D659" s="98">
        <v>513</v>
      </c>
    </row>
    <row r="660" spans="2:4" ht="15" customHeight="1" thickBot="1" x14ac:dyDescent="0.4"/>
    <row r="661" spans="2:4" ht="15" customHeight="1" x14ac:dyDescent="0.35">
      <c r="B661" s="30" t="s">
        <v>1781</v>
      </c>
      <c r="C661" s="130">
        <v>261</v>
      </c>
      <c r="D661" s="131">
        <v>223</v>
      </c>
    </row>
    <row r="662" spans="2:4" ht="15" customHeight="1" x14ac:dyDescent="0.35">
      <c r="B662" s="28"/>
      <c r="C662" s="12">
        <v>265</v>
      </c>
      <c r="D662" s="96">
        <v>191</v>
      </c>
    </row>
    <row r="663" spans="2:4" ht="15" customHeight="1" x14ac:dyDescent="0.35">
      <c r="B663" s="28"/>
      <c r="C663" s="12">
        <v>273</v>
      </c>
      <c r="D663" s="96">
        <v>190</v>
      </c>
    </row>
    <row r="664" spans="2:4" ht="15" customHeight="1" x14ac:dyDescent="0.35">
      <c r="B664" s="28"/>
      <c r="C664" s="12">
        <v>274</v>
      </c>
      <c r="D664" s="96">
        <v>202</v>
      </c>
    </row>
    <row r="665" spans="2:4" ht="15" customHeight="1" x14ac:dyDescent="0.35">
      <c r="B665" s="28"/>
      <c r="C665" s="12">
        <v>276</v>
      </c>
      <c r="D665" s="96">
        <v>208</v>
      </c>
    </row>
    <row r="666" spans="2:4" ht="15" customHeight="1" x14ac:dyDescent="0.35">
      <c r="B666" s="28"/>
      <c r="C666" s="12">
        <v>284</v>
      </c>
      <c r="D666" s="96">
        <v>203</v>
      </c>
    </row>
    <row r="667" spans="2:4" ht="15" customHeight="1" x14ac:dyDescent="0.35">
      <c r="B667" s="28"/>
      <c r="C667" s="12">
        <v>285</v>
      </c>
      <c r="D667" s="96">
        <v>195</v>
      </c>
    </row>
    <row r="668" spans="2:4" ht="15" customHeight="1" x14ac:dyDescent="0.35">
      <c r="B668" s="28"/>
      <c r="C668" s="12">
        <v>287</v>
      </c>
      <c r="D668" s="96">
        <v>195</v>
      </c>
    </row>
    <row r="669" spans="2:4" ht="15" customHeight="1" x14ac:dyDescent="0.35">
      <c r="B669" s="28"/>
      <c r="C669" s="12">
        <v>294</v>
      </c>
      <c r="D669" s="96">
        <v>194</v>
      </c>
    </row>
    <row r="670" spans="2:4" ht="15" customHeight="1" x14ac:dyDescent="0.35">
      <c r="B670" s="28"/>
      <c r="C670" s="12">
        <v>295</v>
      </c>
      <c r="D670" s="96">
        <v>221</v>
      </c>
    </row>
    <row r="671" spans="2:4" ht="15" customHeight="1" x14ac:dyDescent="0.35">
      <c r="B671" s="28"/>
      <c r="C671" s="12">
        <v>298</v>
      </c>
      <c r="D671" s="96">
        <v>216</v>
      </c>
    </row>
    <row r="672" spans="2:4" ht="15" customHeight="1" x14ac:dyDescent="0.35">
      <c r="B672" s="28"/>
      <c r="C672" s="12">
        <v>302</v>
      </c>
      <c r="D672" s="96">
        <v>217</v>
      </c>
    </row>
    <row r="673" spans="2:4" ht="15" customHeight="1" x14ac:dyDescent="0.35">
      <c r="B673" s="28"/>
      <c r="C673" s="12">
        <v>303</v>
      </c>
      <c r="D673" s="96">
        <v>219</v>
      </c>
    </row>
    <row r="674" spans="2:4" ht="15" customHeight="1" x14ac:dyDescent="0.35">
      <c r="B674" s="28"/>
      <c r="C674" s="12">
        <v>305</v>
      </c>
      <c r="D674" s="96">
        <v>203</v>
      </c>
    </row>
    <row r="675" spans="2:4" ht="15" customHeight="1" x14ac:dyDescent="0.35">
      <c r="B675" s="28"/>
      <c r="C675" s="12">
        <v>309</v>
      </c>
      <c r="D675" s="96">
        <v>201</v>
      </c>
    </row>
    <row r="676" spans="2:4" ht="15" customHeight="1" x14ac:dyDescent="0.35">
      <c r="B676" s="28"/>
      <c r="C676" s="12">
        <v>314</v>
      </c>
      <c r="D676" s="96">
        <v>219</v>
      </c>
    </row>
    <row r="677" spans="2:4" ht="15" customHeight="1" x14ac:dyDescent="0.35">
      <c r="B677" s="28"/>
      <c r="C677" s="12">
        <v>315</v>
      </c>
      <c r="D677" s="96">
        <v>222</v>
      </c>
    </row>
    <row r="678" spans="2:4" ht="15" customHeight="1" x14ac:dyDescent="0.35">
      <c r="B678" s="28"/>
      <c r="C678" s="12">
        <v>316</v>
      </c>
      <c r="D678" s="96">
        <v>215</v>
      </c>
    </row>
    <row r="679" spans="2:4" ht="15" customHeight="1" x14ac:dyDescent="0.35">
      <c r="B679" s="28"/>
      <c r="C679" s="12">
        <v>319</v>
      </c>
      <c r="D679" s="96">
        <v>240</v>
      </c>
    </row>
    <row r="680" spans="2:4" ht="15" customHeight="1" x14ac:dyDescent="0.35">
      <c r="B680" s="28"/>
      <c r="C680" s="12">
        <v>326</v>
      </c>
      <c r="D680" s="96">
        <v>211</v>
      </c>
    </row>
    <row r="681" spans="2:4" ht="15" customHeight="1" x14ac:dyDescent="0.35">
      <c r="B681" s="28"/>
      <c r="C681" s="12">
        <v>327</v>
      </c>
      <c r="D681" s="96">
        <v>241</v>
      </c>
    </row>
    <row r="682" spans="2:4" ht="15" customHeight="1" x14ac:dyDescent="0.35">
      <c r="B682" s="28"/>
      <c r="C682" s="12">
        <v>331</v>
      </c>
      <c r="D682" s="96">
        <v>231</v>
      </c>
    </row>
    <row r="683" spans="2:4" ht="15" customHeight="1" x14ac:dyDescent="0.35">
      <c r="B683" s="28"/>
      <c r="C683" s="12">
        <v>337</v>
      </c>
      <c r="D683" s="96">
        <v>217</v>
      </c>
    </row>
    <row r="684" spans="2:4" ht="15" customHeight="1" x14ac:dyDescent="0.35">
      <c r="B684" s="28"/>
      <c r="C684" s="12">
        <v>346</v>
      </c>
      <c r="D684" s="96">
        <v>225</v>
      </c>
    </row>
    <row r="685" spans="2:4" ht="15" customHeight="1" x14ac:dyDescent="0.35">
      <c r="B685" s="28"/>
      <c r="C685" s="12">
        <v>347</v>
      </c>
      <c r="D685" s="96">
        <v>260</v>
      </c>
    </row>
    <row r="686" spans="2:4" ht="15" customHeight="1" x14ac:dyDescent="0.35">
      <c r="B686" s="28"/>
      <c r="C686" s="12">
        <v>357</v>
      </c>
      <c r="D686" s="96">
        <v>231</v>
      </c>
    </row>
    <row r="687" spans="2:4" ht="15" customHeight="1" x14ac:dyDescent="0.35">
      <c r="B687" s="28"/>
      <c r="C687" s="12">
        <v>362</v>
      </c>
      <c r="D687" s="96">
        <v>241</v>
      </c>
    </row>
    <row r="688" spans="2:4" ht="15" customHeight="1" x14ac:dyDescent="0.35">
      <c r="B688" s="28"/>
      <c r="C688" s="12">
        <v>374</v>
      </c>
      <c r="D688" s="96">
        <v>259</v>
      </c>
    </row>
    <row r="689" spans="2:4" ht="15" customHeight="1" x14ac:dyDescent="0.35">
      <c r="B689" s="28"/>
      <c r="C689" s="12">
        <v>380</v>
      </c>
      <c r="D689" s="96">
        <v>273</v>
      </c>
    </row>
    <row r="690" spans="2:4" ht="15" customHeight="1" x14ac:dyDescent="0.35">
      <c r="B690" s="28"/>
      <c r="C690" s="12">
        <v>390</v>
      </c>
      <c r="D690" s="96">
        <v>286</v>
      </c>
    </row>
    <row r="691" spans="2:4" ht="15" customHeight="1" thickBot="1" x14ac:dyDescent="0.4">
      <c r="B691" s="29"/>
      <c r="C691" s="132">
        <v>413</v>
      </c>
      <c r="D691" s="98">
        <v>263</v>
      </c>
    </row>
    <row r="692" spans="2:4" ht="15" customHeight="1" thickBot="1" x14ac:dyDescent="0.4"/>
    <row r="693" spans="2:4" ht="15" customHeight="1" x14ac:dyDescent="0.35">
      <c r="B693" s="30" t="s">
        <v>1782</v>
      </c>
      <c r="C693" s="130">
        <v>512</v>
      </c>
      <c r="D693" s="131">
        <v>330</v>
      </c>
    </row>
    <row r="694" spans="2:4" ht="15" customHeight="1" x14ac:dyDescent="0.35">
      <c r="B694" s="28"/>
      <c r="C694" s="12">
        <v>529</v>
      </c>
      <c r="D694" s="96">
        <v>396</v>
      </c>
    </row>
    <row r="695" spans="2:4" ht="15" customHeight="1" x14ac:dyDescent="0.35">
      <c r="B695" s="28"/>
      <c r="C695" s="12">
        <v>477</v>
      </c>
      <c r="D695" s="96">
        <v>389</v>
      </c>
    </row>
    <row r="696" spans="2:4" ht="15" customHeight="1" x14ac:dyDescent="0.35">
      <c r="B696" s="28"/>
      <c r="C696" s="12">
        <v>483</v>
      </c>
      <c r="D696" s="96">
        <v>310</v>
      </c>
    </row>
    <row r="697" spans="2:4" ht="15" customHeight="1" x14ac:dyDescent="0.35">
      <c r="B697" s="28"/>
      <c r="C697" s="12">
        <v>494</v>
      </c>
      <c r="D697" s="96">
        <v>352</v>
      </c>
    </row>
    <row r="698" spans="2:4" ht="15" customHeight="1" x14ac:dyDescent="0.35">
      <c r="B698" s="28"/>
      <c r="C698" s="12">
        <v>504</v>
      </c>
      <c r="D698" s="96">
        <v>371</v>
      </c>
    </row>
    <row r="699" spans="2:4" ht="15" customHeight="1" x14ac:dyDescent="0.35">
      <c r="B699" s="28"/>
      <c r="C699" s="12">
        <v>511</v>
      </c>
      <c r="D699" s="96">
        <v>395</v>
      </c>
    </row>
    <row r="700" spans="2:4" ht="15" customHeight="1" x14ac:dyDescent="0.35">
      <c r="B700" s="28"/>
      <c r="C700" s="12">
        <v>517</v>
      </c>
      <c r="D700" s="96">
        <v>299</v>
      </c>
    </row>
    <row r="701" spans="2:4" ht="15" customHeight="1" x14ac:dyDescent="0.35">
      <c r="B701" s="28"/>
      <c r="C701" s="12">
        <v>524</v>
      </c>
      <c r="D701" s="96">
        <v>371</v>
      </c>
    </row>
    <row r="702" spans="2:4" ht="15" customHeight="1" x14ac:dyDescent="0.35">
      <c r="B702" s="28"/>
      <c r="C702" s="12">
        <v>538</v>
      </c>
      <c r="D702" s="96">
        <v>354</v>
      </c>
    </row>
    <row r="703" spans="2:4" ht="15" customHeight="1" x14ac:dyDescent="0.35">
      <c r="B703" s="28"/>
      <c r="C703" s="12">
        <v>543</v>
      </c>
      <c r="D703" s="96">
        <v>419</v>
      </c>
    </row>
    <row r="704" spans="2:4" ht="15" customHeight="1" x14ac:dyDescent="0.35">
      <c r="B704" s="28"/>
      <c r="C704" s="12">
        <v>561</v>
      </c>
      <c r="D704" s="96">
        <v>378</v>
      </c>
    </row>
    <row r="705" spans="2:4" ht="15" customHeight="1" x14ac:dyDescent="0.35">
      <c r="B705" s="28"/>
      <c r="C705" s="12">
        <v>581</v>
      </c>
      <c r="D705" s="96">
        <v>402</v>
      </c>
    </row>
    <row r="706" spans="2:4" ht="15" customHeight="1" x14ac:dyDescent="0.35">
      <c r="B706" s="28"/>
      <c r="C706" s="12">
        <v>677</v>
      </c>
      <c r="D706" s="96">
        <v>535</v>
      </c>
    </row>
    <row r="707" spans="2:4" ht="15" customHeight="1" thickBot="1" x14ac:dyDescent="0.4">
      <c r="B707" s="29"/>
      <c r="C707" s="132">
        <v>690</v>
      </c>
      <c r="D707" s="98">
        <v>497</v>
      </c>
    </row>
  </sheetData>
  <mergeCells count="2">
    <mergeCell ref="B2:D2"/>
    <mergeCell ref="F5:N1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9745E-879F-482C-8BF1-6FA40385D35B}">
  <dimension ref="B2:Z43"/>
  <sheetViews>
    <sheetView zoomScale="75" zoomScaleNormal="75" workbookViewId="0">
      <pane xSplit="1" ySplit="4" topLeftCell="B5" activePane="bottomRight" state="frozen"/>
      <selection pane="topRight" activeCell="B1" sqref="B1"/>
      <selection pane="bottomLeft" activeCell="A4" sqref="A4"/>
      <selection pane="bottomRight" activeCell="B2" sqref="B2:Z2"/>
    </sheetView>
  </sheetViews>
  <sheetFormatPr defaultColWidth="9.140625" defaultRowHeight="14.15" x14ac:dyDescent="0.35"/>
  <cols>
    <col min="1" max="1" width="4.640625" style="1" customWidth="1"/>
    <col min="2" max="2" width="10.35546875" style="1" customWidth="1"/>
    <col min="3" max="16384" width="9.140625" style="1"/>
  </cols>
  <sheetData>
    <row r="2" spans="2:26" ht="25" customHeight="1" thickBot="1" x14ac:dyDescent="0.4">
      <c r="B2" s="186" t="s">
        <v>2001</v>
      </c>
      <c r="C2" s="188"/>
      <c r="D2" s="188"/>
      <c r="E2" s="188"/>
      <c r="F2" s="188"/>
      <c r="G2" s="188"/>
      <c r="H2" s="188"/>
      <c r="I2" s="188"/>
      <c r="J2" s="188"/>
      <c r="K2" s="188"/>
      <c r="L2" s="188"/>
      <c r="M2" s="188"/>
      <c r="N2" s="188"/>
      <c r="O2" s="188"/>
      <c r="P2" s="188"/>
      <c r="Q2" s="188"/>
      <c r="R2" s="188"/>
      <c r="S2" s="188"/>
      <c r="T2" s="188"/>
      <c r="U2" s="188"/>
      <c r="V2" s="188"/>
      <c r="W2" s="188"/>
      <c r="X2" s="188"/>
      <c r="Y2" s="188"/>
      <c r="Z2" s="188"/>
    </row>
    <row r="3" spans="2:26" s="2" customFormat="1" ht="25" customHeight="1" thickBot="1" x14ac:dyDescent="0.4">
      <c r="B3" s="189"/>
      <c r="C3" s="190"/>
      <c r="D3" s="190"/>
      <c r="E3" s="191" t="s">
        <v>1971</v>
      </c>
      <c r="F3" s="191"/>
      <c r="G3" s="191"/>
      <c r="H3" s="192" t="s">
        <v>1963</v>
      </c>
      <c r="I3" s="192"/>
      <c r="J3" s="192"/>
      <c r="K3" s="192"/>
      <c r="L3" s="192"/>
      <c r="M3" s="192"/>
      <c r="N3" s="192"/>
      <c r="O3" s="193" t="s">
        <v>1964</v>
      </c>
      <c r="P3" s="193"/>
      <c r="Q3" s="193"/>
      <c r="R3" s="193"/>
      <c r="S3" s="193"/>
      <c r="T3" s="193"/>
      <c r="U3" s="193"/>
      <c r="V3" s="193"/>
      <c r="W3" s="193"/>
      <c r="X3" s="193"/>
      <c r="Y3" s="193"/>
      <c r="Z3" s="194"/>
    </row>
    <row r="4" spans="2:26" s="2" customFormat="1" ht="14.6" thickBot="1" x14ac:dyDescent="0.4">
      <c r="B4" s="104" t="s">
        <v>1490</v>
      </c>
      <c r="C4" s="103" t="s">
        <v>1491</v>
      </c>
      <c r="D4" s="103" t="s">
        <v>1492</v>
      </c>
      <c r="E4" s="198" t="s">
        <v>1493</v>
      </c>
      <c r="F4" s="198" t="s">
        <v>1494</v>
      </c>
      <c r="G4" s="198" t="s">
        <v>1495</v>
      </c>
      <c r="H4" s="199" t="s">
        <v>1496</v>
      </c>
      <c r="I4" s="199" t="s">
        <v>1497</v>
      </c>
      <c r="J4" s="199" t="s">
        <v>1498</v>
      </c>
      <c r="K4" s="199" t="s">
        <v>1499</v>
      </c>
      <c r="L4" s="199" t="s">
        <v>1500</v>
      </c>
      <c r="M4" s="199" t="s">
        <v>1501</v>
      </c>
      <c r="N4" s="199" t="s">
        <v>1502</v>
      </c>
      <c r="O4" s="200" t="s">
        <v>1503</v>
      </c>
      <c r="P4" s="200" t="s">
        <v>1504</v>
      </c>
      <c r="Q4" s="200" t="s">
        <v>1505</v>
      </c>
      <c r="R4" s="200" t="s">
        <v>1506</v>
      </c>
      <c r="S4" s="200" t="s">
        <v>1507</v>
      </c>
      <c r="T4" s="200" t="s">
        <v>1508</v>
      </c>
      <c r="U4" s="200" t="s">
        <v>1509</v>
      </c>
      <c r="V4" s="200" t="s">
        <v>1510</v>
      </c>
      <c r="W4" s="200" t="s">
        <v>1511</v>
      </c>
      <c r="X4" s="200" t="s">
        <v>1512</v>
      </c>
      <c r="Y4" s="200" t="s">
        <v>1999</v>
      </c>
      <c r="Z4" s="201" t="s">
        <v>1998</v>
      </c>
    </row>
    <row r="5" spans="2:26" x14ac:dyDescent="0.35">
      <c r="B5" s="28" t="s">
        <v>28</v>
      </c>
      <c r="C5" s="187" t="s">
        <v>1513</v>
      </c>
      <c r="D5" s="187">
        <v>1</v>
      </c>
      <c r="E5" s="187">
        <v>101.715677</v>
      </c>
      <c r="F5" s="187">
        <v>29.748685999999999</v>
      </c>
      <c r="G5" s="187">
        <v>4365</v>
      </c>
      <c r="H5" s="187">
        <v>35.700000000000003</v>
      </c>
      <c r="I5" s="187">
        <v>55.1</v>
      </c>
      <c r="J5" s="187">
        <v>7.71</v>
      </c>
      <c r="K5" s="187">
        <v>595</v>
      </c>
      <c r="L5" s="187">
        <v>6.4493410459999998</v>
      </c>
      <c r="M5" s="187">
        <v>1.831104026</v>
      </c>
      <c r="N5" s="187">
        <v>1.0786535719999999</v>
      </c>
      <c r="O5" s="187">
        <v>337.98075469999998</v>
      </c>
      <c r="P5" s="187">
        <v>15.54801164</v>
      </c>
      <c r="Q5" s="187">
        <v>4.8867924260000004</v>
      </c>
      <c r="R5" s="187">
        <v>2.6419250000000001</v>
      </c>
      <c r="S5" s="187">
        <v>0.83391000000000004</v>
      </c>
      <c r="T5" s="187">
        <v>28.38</v>
      </c>
      <c r="U5" s="187">
        <v>23.634</v>
      </c>
      <c r="V5" s="187">
        <v>2140</v>
      </c>
      <c r="W5" s="187">
        <v>113.7992832</v>
      </c>
      <c r="X5" s="187">
        <v>12.5223</v>
      </c>
      <c r="Y5" s="187">
        <v>78.580666666666673</v>
      </c>
      <c r="Z5" s="37">
        <v>0.64024229878426397</v>
      </c>
    </row>
    <row r="6" spans="2:26" x14ac:dyDescent="0.35">
      <c r="B6" s="28" t="s">
        <v>28</v>
      </c>
      <c r="C6" s="187" t="s">
        <v>1514</v>
      </c>
      <c r="D6" s="187">
        <v>2</v>
      </c>
      <c r="E6" s="187">
        <v>101.714663</v>
      </c>
      <c r="F6" s="187">
        <v>29.74933</v>
      </c>
      <c r="G6" s="187">
        <v>4363</v>
      </c>
      <c r="H6" s="187">
        <v>37.799999999999997</v>
      </c>
      <c r="I6" s="187">
        <v>59.9</v>
      </c>
      <c r="J6" s="187">
        <v>7.33</v>
      </c>
      <c r="K6" s="187">
        <v>674</v>
      </c>
      <c r="L6" s="187">
        <v>5.9374404580000002</v>
      </c>
      <c r="M6" s="187">
        <v>1.7483323420000001</v>
      </c>
      <c r="N6" s="187">
        <v>0.94680939200000003</v>
      </c>
      <c r="O6" s="187">
        <v>311.43736840000003</v>
      </c>
      <c r="P6" s="187">
        <v>13.58553275</v>
      </c>
      <c r="Q6" s="187">
        <v>4.6489037360000003</v>
      </c>
      <c r="R6" s="187">
        <v>2.5775199999999998</v>
      </c>
      <c r="S6" s="187">
        <v>1.1753199999999999</v>
      </c>
      <c r="T6" s="187">
        <v>29.67</v>
      </c>
      <c r="U6" s="187">
        <v>30.186</v>
      </c>
      <c r="V6" s="187">
        <v>1640</v>
      </c>
      <c r="W6" s="187">
        <v>143.6491935</v>
      </c>
      <c r="X6" s="187">
        <v>13.4123</v>
      </c>
      <c r="Y6" s="187">
        <v>68.820666666666668</v>
      </c>
      <c r="Z6" s="37">
        <v>0.78814503395297919</v>
      </c>
    </row>
    <row r="7" spans="2:26" x14ac:dyDescent="0.35">
      <c r="B7" s="28" t="s">
        <v>28</v>
      </c>
      <c r="C7" s="187" t="s">
        <v>1514</v>
      </c>
      <c r="D7" s="187">
        <v>3</v>
      </c>
      <c r="E7" s="187">
        <v>101.715667</v>
      </c>
      <c r="F7" s="187">
        <v>29.749732000000002</v>
      </c>
      <c r="G7" s="187">
        <v>4378</v>
      </c>
      <c r="H7" s="187">
        <v>41.5</v>
      </c>
      <c r="I7" s="187">
        <v>58.9</v>
      </c>
      <c r="J7" s="187">
        <v>6.75</v>
      </c>
      <c r="K7" s="187">
        <v>674</v>
      </c>
      <c r="L7" s="187">
        <v>5.1895120180000003</v>
      </c>
      <c r="M7" s="187">
        <v>1.6273167829999999</v>
      </c>
      <c r="N7" s="187">
        <v>0.83803517100000002</v>
      </c>
      <c r="O7" s="187">
        <v>293.10835680000002</v>
      </c>
      <c r="P7" s="187">
        <v>12.871189770000001</v>
      </c>
      <c r="Q7" s="187">
        <v>4.2757350389999997</v>
      </c>
      <c r="R7" s="187">
        <v>2.8741850000000002</v>
      </c>
      <c r="S7" s="187">
        <v>0.77022999999999997</v>
      </c>
      <c r="T7" s="187">
        <v>24.802</v>
      </c>
      <c r="U7" s="187">
        <v>31.356000000000002</v>
      </c>
      <c r="V7" s="187">
        <v>1400</v>
      </c>
      <c r="W7" s="187">
        <v>96.345514949999995</v>
      </c>
      <c r="X7" s="187">
        <v>8.4283000000000001</v>
      </c>
      <c r="Y7" s="187">
        <v>62.115333333333332</v>
      </c>
      <c r="Z7" s="37">
        <v>1.1368744164081868</v>
      </c>
    </row>
    <row r="8" spans="2:26" x14ac:dyDescent="0.35">
      <c r="B8" s="28" t="s">
        <v>28</v>
      </c>
      <c r="C8" s="187" t="s">
        <v>1514</v>
      </c>
      <c r="D8" s="187">
        <v>4</v>
      </c>
      <c r="E8" s="187">
        <v>101.715158</v>
      </c>
      <c r="F8" s="187">
        <v>29.750088000000002</v>
      </c>
      <c r="G8" s="187">
        <v>4373</v>
      </c>
      <c r="H8" s="187">
        <v>42.4</v>
      </c>
      <c r="I8" s="187">
        <v>58.8</v>
      </c>
      <c r="J8" s="187">
        <v>7.21</v>
      </c>
      <c r="K8" s="187">
        <v>678</v>
      </c>
      <c r="L8" s="187">
        <v>6.2013503569999999</v>
      </c>
      <c r="M8" s="187">
        <v>1.9793208900000001</v>
      </c>
      <c r="N8" s="187">
        <v>1.038327233</v>
      </c>
      <c r="O8" s="187">
        <v>353.65844340000001</v>
      </c>
      <c r="P8" s="187">
        <v>15.426052889999999</v>
      </c>
      <c r="Q8" s="187">
        <v>4.9673863860000003</v>
      </c>
      <c r="R8" s="187">
        <v>3.1641249999999999</v>
      </c>
      <c r="S8" s="187">
        <v>1.42239</v>
      </c>
      <c r="T8" s="187">
        <v>30.96</v>
      </c>
      <c r="U8" s="187">
        <v>27.728999999999999</v>
      </c>
      <c r="V8" s="187">
        <v>1900</v>
      </c>
      <c r="W8" s="187">
        <v>111.2588652</v>
      </c>
      <c r="X8" s="187">
        <v>10.7843</v>
      </c>
      <c r="Y8" s="187">
        <v>107.84866666666666</v>
      </c>
      <c r="Z8" s="37">
        <v>0.93947692136512273</v>
      </c>
    </row>
    <row r="9" spans="2:26" x14ac:dyDescent="0.35">
      <c r="B9" s="28" t="s">
        <v>28</v>
      </c>
      <c r="C9" s="187" t="s">
        <v>1514</v>
      </c>
      <c r="D9" s="187">
        <v>5</v>
      </c>
      <c r="E9" s="187">
        <v>101.71446899999999</v>
      </c>
      <c r="F9" s="187">
        <v>29.750802</v>
      </c>
      <c r="G9" s="187">
        <v>4374</v>
      </c>
      <c r="H9" s="187">
        <v>40.4</v>
      </c>
      <c r="I9" s="187">
        <v>57.9</v>
      </c>
      <c r="J9" s="187">
        <v>6.85</v>
      </c>
      <c r="K9" s="187">
        <v>848</v>
      </c>
      <c r="L9" s="187">
        <v>6.4743194160000002</v>
      </c>
      <c r="M9" s="187">
        <v>1.5880822189999999</v>
      </c>
      <c r="N9" s="187">
        <v>0.96005824799999995</v>
      </c>
      <c r="O9" s="187">
        <v>261.29285709999999</v>
      </c>
      <c r="P9" s="187">
        <v>11.344137269999999</v>
      </c>
      <c r="Q9" s="187">
        <v>3.5867120039999998</v>
      </c>
      <c r="R9" s="187">
        <v>2.67449</v>
      </c>
      <c r="S9" s="187">
        <v>1.07386</v>
      </c>
      <c r="T9" s="187">
        <v>25.283999999999999</v>
      </c>
      <c r="U9" s="187">
        <v>28.547999999999998</v>
      </c>
      <c r="V9" s="187">
        <v>1480</v>
      </c>
      <c r="W9" s="187">
        <v>95.612582779999997</v>
      </c>
      <c r="X9" s="187">
        <v>8.7583000000000002</v>
      </c>
      <c r="Y9" s="187">
        <v>77.783333333333331</v>
      </c>
      <c r="Z9" s="37">
        <v>1.7814784658238696</v>
      </c>
    </row>
    <row r="10" spans="2:26" x14ac:dyDescent="0.35">
      <c r="B10" s="195" t="s">
        <v>29</v>
      </c>
      <c r="C10" s="196" t="s">
        <v>1515</v>
      </c>
      <c r="D10" s="196">
        <v>1</v>
      </c>
      <c r="E10" s="196">
        <v>101.712217</v>
      </c>
      <c r="F10" s="196">
        <v>29.750821999999999</v>
      </c>
      <c r="G10" s="196">
        <v>4338</v>
      </c>
      <c r="H10" s="196">
        <v>59.8</v>
      </c>
      <c r="I10" s="196">
        <v>32</v>
      </c>
      <c r="J10" s="196">
        <v>7.69</v>
      </c>
      <c r="K10" s="196">
        <v>977</v>
      </c>
      <c r="L10" s="196">
        <v>10.06087883</v>
      </c>
      <c r="M10" s="196">
        <v>2.729762901</v>
      </c>
      <c r="N10" s="196">
        <v>1.4024706739999999</v>
      </c>
      <c r="O10" s="196">
        <v>385.40654210000002</v>
      </c>
      <c r="P10" s="196">
        <v>18.212512409999999</v>
      </c>
      <c r="Q10" s="196">
        <v>5.6303308679999997</v>
      </c>
      <c r="R10" s="196">
        <v>3.4745900000000001</v>
      </c>
      <c r="S10" s="196">
        <v>1.47902</v>
      </c>
      <c r="T10" s="196">
        <v>25.542000000000002</v>
      </c>
      <c r="U10" s="196">
        <v>29.600999999999999</v>
      </c>
      <c r="V10" s="196">
        <v>3540</v>
      </c>
      <c r="W10" s="196">
        <v>101.61564629999999</v>
      </c>
      <c r="X10" s="196">
        <v>11.3653</v>
      </c>
      <c r="Y10" s="196">
        <v>82.012666666666675</v>
      </c>
      <c r="Z10" s="197">
        <v>1.2617807005421928</v>
      </c>
    </row>
    <row r="11" spans="2:26" x14ac:dyDescent="0.35">
      <c r="B11" s="195" t="s">
        <v>29</v>
      </c>
      <c r="C11" s="196" t="s">
        <v>1515</v>
      </c>
      <c r="D11" s="196">
        <v>2</v>
      </c>
      <c r="E11" s="196">
        <v>101.71201000000001</v>
      </c>
      <c r="F11" s="196">
        <v>29.751396</v>
      </c>
      <c r="G11" s="196">
        <v>4336</v>
      </c>
      <c r="H11" s="196">
        <v>60.6</v>
      </c>
      <c r="I11" s="196">
        <v>38.6</v>
      </c>
      <c r="J11" s="196">
        <v>7.16</v>
      </c>
      <c r="K11" s="196">
        <v>1334</v>
      </c>
      <c r="L11" s="196">
        <v>8.4032184280000006</v>
      </c>
      <c r="M11" s="196">
        <v>2.5079160840000001</v>
      </c>
      <c r="N11" s="196">
        <v>1.0545008929999999</v>
      </c>
      <c r="O11" s="196">
        <v>337.03252429999998</v>
      </c>
      <c r="P11" s="196">
        <v>14.9439528</v>
      </c>
      <c r="Q11" s="196">
        <v>4.3555330420000002</v>
      </c>
      <c r="R11" s="196">
        <v>3.1741999999999999</v>
      </c>
      <c r="S11" s="196">
        <v>0.80208000000000002</v>
      </c>
      <c r="T11" s="196">
        <v>19.608000000000001</v>
      </c>
      <c r="U11" s="196">
        <v>36.088999999999999</v>
      </c>
      <c r="V11" s="196">
        <v>3800</v>
      </c>
      <c r="W11" s="196">
        <v>109.5950704</v>
      </c>
      <c r="X11" s="196">
        <v>15.0143</v>
      </c>
      <c r="Y11" s="196">
        <v>93.975333333333325</v>
      </c>
      <c r="Z11" s="197">
        <v>1.0619737094131083</v>
      </c>
    </row>
    <row r="12" spans="2:26" x14ac:dyDescent="0.35">
      <c r="B12" s="195" t="s">
        <v>29</v>
      </c>
      <c r="C12" s="196" t="s">
        <v>1515</v>
      </c>
      <c r="D12" s="196">
        <v>3</v>
      </c>
      <c r="E12" s="196">
        <v>101.71130700000001</v>
      </c>
      <c r="F12" s="196">
        <v>29.751826999999999</v>
      </c>
      <c r="G12" s="196">
        <v>4324</v>
      </c>
      <c r="H12" s="196">
        <v>56.2</v>
      </c>
      <c r="I12" s="196">
        <v>36.799999999999997</v>
      </c>
      <c r="J12" s="196">
        <v>6.92</v>
      </c>
      <c r="K12" s="196">
        <v>1607</v>
      </c>
      <c r="L12" s="196">
        <v>8.496414498</v>
      </c>
      <c r="M12" s="196">
        <v>2.5253168100000001</v>
      </c>
      <c r="N12" s="196">
        <v>1.3246245109999999</v>
      </c>
      <c r="O12" s="196">
        <v>312.67834149999999</v>
      </c>
      <c r="P12" s="196">
        <v>13.550583659999999</v>
      </c>
      <c r="Q12" s="196">
        <v>4.5674272279999997</v>
      </c>
      <c r="R12" s="196">
        <v>2.7714349999999999</v>
      </c>
      <c r="S12" s="196">
        <v>1.9035299999999999</v>
      </c>
      <c r="T12" s="196">
        <v>20.125</v>
      </c>
      <c r="U12" s="196">
        <v>32.643000000000001</v>
      </c>
      <c r="V12" s="196">
        <v>2780</v>
      </c>
      <c r="W12" s="196">
        <v>116.93877550000001</v>
      </c>
      <c r="X12" s="196">
        <v>9.4962999999999997</v>
      </c>
      <c r="Y12" s="196">
        <v>63.526666666666664</v>
      </c>
      <c r="Z12" s="197">
        <v>2.0782768391226787</v>
      </c>
    </row>
    <row r="13" spans="2:26" x14ac:dyDescent="0.35">
      <c r="B13" s="195" t="s">
        <v>29</v>
      </c>
      <c r="C13" s="196" t="s">
        <v>1515</v>
      </c>
      <c r="D13" s="196">
        <v>4</v>
      </c>
      <c r="E13" s="196">
        <v>101.710646</v>
      </c>
      <c r="F13" s="196">
        <v>29.751984</v>
      </c>
      <c r="G13" s="196">
        <v>4303</v>
      </c>
      <c r="H13" s="196">
        <v>58.4</v>
      </c>
      <c r="I13" s="196">
        <v>36.1</v>
      </c>
      <c r="J13" s="196">
        <v>6.97</v>
      </c>
      <c r="K13" s="196">
        <v>1688</v>
      </c>
      <c r="L13" s="196">
        <v>12.119368850000001</v>
      </c>
      <c r="M13" s="196">
        <v>3.9662690710000001</v>
      </c>
      <c r="N13" s="196">
        <v>1.8031728849999999</v>
      </c>
      <c r="O13" s="196">
        <v>342.02320930000002</v>
      </c>
      <c r="P13" s="196">
        <v>15.01915709</v>
      </c>
      <c r="Q13" s="196">
        <v>4.7253080269999996</v>
      </c>
      <c r="R13" s="196">
        <v>2.6808149999999999</v>
      </c>
      <c r="S13" s="196">
        <v>2.00265</v>
      </c>
      <c r="T13" s="196">
        <v>21.155999999999999</v>
      </c>
      <c r="U13" s="196">
        <v>32.76</v>
      </c>
      <c r="V13" s="196">
        <v>2660</v>
      </c>
      <c r="W13" s="196">
        <v>106.33680560000001</v>
      </c>
      <c r="X13" s="196">
        <v>8.4702999999999999</v>
      </c>
      <c r="Y13" s="196">
        <v>88.257333333333349</v>
      </c>
      <c r="Z13" s="197">
        <v>0.89546477724230622</v>
      </c>
    </row>
    <row r="14" spans="2:26" x14ac:dyDescent="0.35">
      <c r="B14" s="195" t="s">
        <v>29</v>
      </c>
      <c r="C14" s="196" t="s">
        <v>1515</v>
      </c>
      <c r="D14" s="196">
        <v>5</v>
      </c>
      <c r="E14" s="196">
        <v>101.71099599999999</v>
      </c>
      <c r="F14" s="196">
        <v>29.752829999999999</v>
      </c>
      <c r="G14" s="196">
        <v>4306</v>
      </c>
      <c r="H14" s="196">
        <v>59.2</v>
      </c>
      <c r="I14" s="196">
        <v>36.9</v>
      </c>
      <c r="J14" s="196">
        <v>7.21</v>
      </c>
      <c r="K14" s="196">
        <v>1664</v>
      </c>
      <c r="L14" s="196">
        <v>9.6467934690000003</v>
      </c>
      <c r="M14" s="196">
        <v>3.0967039110000001</v>
      </c>
      <c r="N14" s="196">
        <v>1.6419711699999999</v>
      </c>
      <c r="O14" s="196">
        <v>326.18574260000003</v>
      </c>
      <c r="P14" s="196">
        <v>14.90234375</v>
      </c>
      <c r="Q14" s="196">
        <v>4.7805398659999998</v>
      </c>
      <c r="R14" s="196">
        <v>3.0614650000000001</v>
      </c>
      <c r="S14" s="196">
        <v>0.98602999999999996</v>
      </c>
      <c r="T14" s="196">
        <v>28.251000000000001</v>
      </c>
      <c r="U14" s="196">
        <v>32.877000000000002</v>
      </c>
      <c r="V14" s="196">
        <v>3040</v>
      </c>
      <c r="W14" s="196">
        <v>149.17695470000001</v>
      </c>
      <c r="X14" s="196">
        <v>10.779299999999999</v>
      </c>
      <c r="Y14" s="196">
        <v>64.58</v>
      </c>
      <c r="Z14" s="197">
        <v>2.5632084236605759</v>
      </c>
    </row>
    <row r="15" spans="2:26" x14ac:dyDescent="0.35">
      <c r="B15" s="28" t="s">
        <v>30</v>
      </c>
      <c r="C15" s="187" t="s">
        <v>1516</v>
      </c>
      <c r="D15" s="187">
        <v>1</v>
      </c>
      <c r="E15" s="187">
        <v>101.70711300000001</v>
      </c>
      <c r="F15" s="187">
        <v>29.757794000000001</v>
      </c>
      <c r="G15" s="187">
        <v>4216</v>
      </c>
      <c r="H15" s="187">
        <v>57</v>
      </c>
      <c r="I15" s="187">
        <v>49.6</v>
      </c>
      <c r="J15" s="187">
        <v>6.96</v>
      </c>
      <c r="K15" s="187">
        <v>592</v>
      </c>
      <c r="L15" s="187">
        <v>8.3553956990000007</v>
      </c>
      <c r="M15" s="187">
        <v>1.9902326509999999</v>
      </c>
      <c r="N15" s="187">
        <v>1.3575260469999999</v>
      </c>
      <c r="O15" s="187">
        <v>343.84951219999999</v>
      </c>
      <c r="P15" s="187">
        <v>16.111655240000001</v>
      </c>
      <c r="Q15" s="187">
        <v>5.2773801200000001</v>
      </c>
      <c r="R15" s="187">
        <v>2.906285</v>
      </c>
      <c r="S15" s="187">
        <v>1.6347499999999999</v>
      </c>
      <c r="T15" s="187">
        <v>26.058</v>
      </c>
      <c r="U15" s="187">
        <v>30.42</v>
      </c>
      <c r="V15" s="187">
        <v>3320</v>
      </c>
      <c r="W15" s="187">
        <v>177.8409091</v>
      </c>
      <c r="X15" s="187">
        <v>17.773299999999999</v>
      </c>
      <c r="Y15" s="187">
        <v>140.56399999999999</v>
      </c>
      <c r="Z15" s="37">
        <v>0.81808523756675466</v>
      </c>
    </row>
    <row r="16" spans="2:26" x14ac:dyDescent="0.35">
      <c r="B16" s="28" t="s">
        <v>30</v>
      </c>
      <c r="C16" s="187" t="s">
        <v>1516</v>
      </c>
      <c r="D16" s="187">
        <v>2</v>
      </c>
      <c r="E16" s="187">
        <v>101.70630800000001</v>
      </c>
      <c r="F16" s="187">
        <v>29.758945000000001</v>
      </c>
      <c r="G16" s="187">
        <v>4207</v>
      </c>
      <c r="H16" s="187">
        <v>54.9</v>
      </c>
      <c r="I16" s="187">
        <v>49.1</v>
      </c>
      <c r="J16" s="187">
        <v>7.36</v>
      </c>
      <c r="K16" s="187">
        <v>596</v>
      </c>
      <c r="L16" s="187">
        <v>7.1265302650000004</v>
      </c>
      <c r="M16" s="187">
        <v>1.6791661680000001</v>
      </c>
      <c r="N16" s="187">
        <v>0.95822158899999998</v>
      </c>
      <c r="O16" s="187">
        <v>357.27374379999998</v>
      </c>
      <c r="P16" s="187">
        <v>16.89189189</v>
      </c>
      <c r="Q16" s="187">
        <v>5.4307972439999999</v>
      </c>
      <c r="R16" s="187">
        <v>2.9016549999999999</v>
      </c>
      <c r="S16" s="187">
        <v>1.57073</v>
      </c>
      <c r="T16" s="187">
        <v>26.574000000000002</v>
      </c>
      <c r="U16" s="187">
        <v>30.303000000000001</v>
      </c>
      <c r="V16" s="187">
        <v>3020</v>
      </c>
      <c r="W16" s="187">
        <v>182.02764980000001</v>
      </c>
      <c r="X16" s="187">
        <v>14.658300000000001</v>
      </c>
      <c r="Y16" s="187">
        <v>119.07999999999998</v>
      </c>
      <c r="Z16" s="37">
        <v>0.83756578210726707</v>
      </c>
    </row>
    <row r="17" spans="2:26" x14ac:dyDescent="0.35">
      <c r="B17" s="28" t="s">
        <v>30</v>
      </c>
      <c r="C17" s="187" t="s">
        <v>1516</v>
      </c>
      <c r="D17" s="187">
        <v>3</v>
      </c>
      <c r="E17" s="187">
        <v>101.70751</v>
      </c>
      <c r="F17" s="187">
        <v>29.760607</v>
      </c>
      <c r="G17" s="187">
        <v>4179</v>
      </c>
      <c r="H17" s="187">
        <v>60.9</v>
      </c>
      <c r="I17" s="187">
        <v>56.2</v>
      </c>
      <c r="J17" s="187">
        <v>7.06</v>
      </c>
      <c r="K17" s="187">
        <v>593</v>
      </c>
      <c r="L17" s="187">
        <v>6.5133714530000004</v>
      </c>
      <c r="M17" s="187">
        <v>1.566396181</v>
      </c>
      <c r="N17" s="187">
        <v>0.88718236900000003</v>
      </c>
      <c r="O17" s="187">
        <v>376.6572549</v>
      </c>
      <c r="P17" s="187">
        <v>16.591576889999999</v>
      </c>
      <c r="Q17" s="187">
        <v>5.4219812440000004</v>
      </c>
      <c r="R17" s="187">
        <v>3.1354150000000001</v>
      </c>
      <c r="S17" s="187">
        <v>1.2874099999999999</v>
      </c>
      <c r="T17" s="187">
        <v>19.254999999999999</v>
      </c>
      <c r="U17" s="187">
        <v>30.771000000000001</v>
      </c>
      <c r="V17" s="187">
        <v>3900</v>
      </c>
      <c r="W17" s="187">
        <v>241.07142859999999</v>
      </c>
      <c r="X17" s="187">
        <v>17.773299999999999</v>
      </c>
      <c r="Y17" s="187">
        <v>132.03266666666664</v>
      </c>
      <c r="Z17" s="37">
        <v>0.66294199920221752</v>
      </c>
    </row>
    <row r="18" spans="2:26" x14ac:dyDescent="0.35">
      <c r="B18" s="28" t="s">
        <v>30</v>
      </c>
      <c r="C18" s="187" t="s">
        <v>1516</v>
      </c>
      <c r="D18" s="187">
        <v>4</v>
      </c>
      <c r="E18" s="187">
        <v>101.70599799999999</v>
      </c>
      <c r="F18" s="187">
        <v>29.761638999999999</v>
      </c>
      <c r="G18" s="187">
        <v>4153</v>
      </c>
      <c r="H18" s="187">
        <v>55.4</v>
      </c>
      <c r="I18" s="187">
        <v>50.1</v>
      </c>
      <c r="J18" s="187">
        <v>7.94</v>
      </c>
      <c r="K18" s="187">
        <v>521</v>
      </c>
      <c r="L18" s="187">
        <v>8.9660153180000002</v>
      </c>
      <c r="M18" s="187">
        <v>2.1778365480000001</v>
      </c>
      <c r="N18" s="187">
        <v>1.478716546</v>
      </c>
      <c r="O18" s="187">
        <v>392.82236710000001</v>
      </c>
      <c r="P18" s="187">
        <v>17.412935319999999</v>
      </c>
      <c r="Q18" s="187">
        <v>5.1834298250000002</v>
      </c>
      <c r="R18" s="187">
        <v>3.56975</v>
      </c>
      <c r="S18" s="187">
        <v>1.31358</v>
      </c>
      <c r="T18" s="187">
        <v>22.187999999999999</v>
      </c>
      <c r="U18" s="187">
        <v>35.545999999999999</v>
      </c>
      <c r="V18" s="187">
        <v>2500</v>
      </c>
      <c r="W18" s="187">
        <v>133.2364341</v>
      </c>
      <c r="X18" s="187">
        <v>11.8103</v>
      </c>
      <c r="Y18" s="187">
        <v>73.425333333333327</v>
      </c>
      <c r="Z18" s="37">
        <v>0.92439485009715083</v>
      </c>
    </row>
    <row r="19" spans="2:26" x14ac:dyDescent="0.35">
      <c r="B19" s="28" t="s">
        <v>30</v>
      </c>
      <c r="C19" s="187" t="s">
        <v>1516</v>
      </c>
      <c r="D19" s="187">
        <v>5</v>
      </c>
      <c r="E19" s="187">
        <v>101.706749</v>
      </c>
      <c r="F19" s="187">
        <v>29.762547999999999</v>
      </c>
      <c r="G19" s="187">
        <v>4151</v>
      </c>
      <c r="H19" s="187">
        <v>57.8</v>
      </c>
      <c r="I19" s="187">
        <v>48.4</v>
      </c>
      <c r="J19" s="187">
        <v>7.15</v>
      </c>
      <c r="K19" s="187">
        <v>601</v>
      </c>
      <c r="L19" s="187">
        <v>6.4239049880000003</v>
      </c>
      <c r="M19" s="187">
        <v>1.4206077459999999</v>
      </c>
      <c r="N19" s="187">
        <v>0.90034197999999999</v>
      </c>
      <c r="O19" s="187">
        <v>325.3647368</v>
      </c>
      <c r="P19" s="187">
        <v>14.8996063</v>
      </c>
      <c r="Q19" s="187">
        <v>4.775244957</v>
      </c>
      <c r="R19" s="187">
        <v>3.5071300000000001</v>
      </c>
      <c r="S19" s="187">
        <v>1.9500999999999999</v>
      </c>
      <c r="T19" s="187">
        <v>20.158000000000001</v>
      </c>
      <c r="U19" s="187">
        <v>32.058</v>
      </c>
      <c r="V19" s="187">
        <v>2840</v>
      </c>
      <c r="W19" s="187">
        <v>218.42783510000001</v>
      </c>
      <c r="X19" s="187">
        <v>13.946300000000001</v>
      </c>
      <c r="Y19" s="187">
        <v>100.90266666666666</v>
      </c>
      <c r="Z19" s="37">
        <v>0.78860816364285047</v>
      </c>
    </row>
    <row r="20" spans="2:26" x14ac:dyDescent="0.35">
      <c r="B20" s="195" t="s">
        <v>31</v>
      </c>
      <c r="C20" s="196" t="s">
        <v>1517</v>
      </c>
      <c r="D20" s="196">
        <v>1</v>
      </c>
      <c r="E20" s="196">
        <v>101.692178</v>
      </c>
      <c r="F20" s="196">
        <v>29.783435999999998</v>
      </c>
      <c r="G20" s="196">
        <v>3974</v>
      </c>
      <c r="H20" s="196">
        <v>65.8</v>
      </c>
      <c r="I20" s="196">
        <v>32</v>
      </c>
      <c r="J20" s="196">
        <v>7.39</v>
      </c>
      <c r="K20" s="196">
        <v>348</v>
      </c>
      <c r="L20" s="196">
        <v>9.0484861900000002</v>
      </c>
      <c r="M20" s="196">
        <v>2.6847679489999998</v>
      </c>
      <c r="N20" s="196">
        <v>1.3524683319999999</v>
      </c>
      <c r="O20" s="196">
        <v>321.63465120000001</v>
      </c>
      <c r="P20" s="196">
        <v>13.82466281</v>
      </c>
      <c r="Q20" s="196">
        <v>4.7208724999999996</v>
      </c>
      <c r="R20" s="196">
        <v>1.4550449999999999</v>
      </c>
      <c r="S20" s="196">
        <v>2.3009900000000001</v>
      </c>
      <c r="T20" s="196">
        <v>15.093</v>
      </c>
      <c r="U20" s="196">
        <v>36.387</v>
      </c>
      <c r="V20" s="196">
        <v>3620</v>
      </c>
      <c r="W20" s="196">
        <v>206.46766170000001</v>
      </c>
      <c r="X20" s="196">
        <v>18.040299999999998</v>
      </c>
      <c r="Y20" s="196">
        <v>104.26199999999999</v>
      </c>
      <c r="Z20" s="197">
        <v>1.1834161375509138</v>
      </c>
    </row>
    <row r="21" spans="2:26" x14ac:dyDescent="0.35">
      <c r="B21" s="195" t="s">
        <v>31</v>
      </c>
      <c r="C21" s="196" t="s">
        <v>1517</v>
      </c>
      <c r="D21" s="196">
        <v>2</v>
      </c>
      <c r="E21" s="196">
        <v>101.69115600000001</v>
      </c>
      <c r="F21" s="196">
        <v>29.783916999999999</v>
      </c>
      <c r="G21" s="196">
        <v>3955</v>
      </c>
      <c r="H21" s="196">
        <v>65.5</v>
      </c>
      <c r="I21" s="196">
        <v>31.8</v>
      </c>
      <c r="J21" s="196">
        <v>7.57</v>
      </c>
      <c r="K21" s="196">
        <v>347</v>
      </c>
      <c r="L21" s="196">
        <v>6.0392139929999997</v>
      </c>
      <c r="M21" s="196">
        <v>1.3134631430000001</v>
      </c>
      <c r="N21" s="196">
        <v>0.99437550299999999</v>
      </c>
      <c r="O21" s="196">
        <v>335.45822659999999</v>
      </c>
      <c r="P21" s="196">
        <v>15.808837656</v>
      </c>
      <c r="Q21" s="196">
        <v>4.8686978129999998</v>
      </c>
      <c r="R21" s="196">
        <v>1.125945</v>
      </c>
      <c r="S21" s="196">
        <v>3.1890700000000001</v>
      </c>
      <c r="T21" s="196">
        <v>20.382000000000001</v>
      </c>
      <c r="U21" s="196">
        <v>35.567999999999998</v>
      </c>
      <c r="V21" s="196">
        <v>3940</v>
      </c>
      <c r="W21" s="196">
        <v>307.62987010000001</v>
      </c>
      <c r="X21" s="196">
        <v>17.773299999999999</v>
      </c>
      <c r="Y21" s="196">
        <v>100.97866666666668</v>
      </c>
      <c r="Z21" s="197">
        <v>1.2711199725354527</v>
      </c>
    </row>
    <row r="22" spans="2:26" x14ac:dyDescent="0.35">
      <c r="B22" s="195" t="s">
        <v>31</v>
      </c>
      <c r="C22" s="196" t="s">
        <v>1517</v>
      </c>
      <c r="D22" s="196">
        <v>3</v>
      </c>
      <c r="E22" s="196">
        <v>101.69041900000001</v>
      </c>
      <c r="F22" s="196">
        <v>29.784355000000001</v>
      </c>
      <c r="G22" s="196">
        <v>3956</v>
      </c>
      <c r="H22" s="196">
        <v>64.900000000000006</v>
      </c>
      <c r="I22" s="196">
        <v>31.8</v>
      </c>
      <c r="J22" s="196">
        <v>7.97</v>
      </c>
      <c r="K22" s="196">
        <v>334</v>
      </c>
      <c r="L22" s="196">
        <v>5.2063833639999997</v>
      </c>
      <c r="M22" s="196">
        <v>1.5431488849999999</v>
      </c>
      <c r="N22" s="196">
        <v>0.808993925</v>
      </c>
      <c r="O22" s="196">
        <v>353.01581279999999</v>
      </c>
      <c r="P22" s="196">
        <v>16.27906977</v>
      </c>
      <c r="Q22" s="196">
        <v>5.2145368010000004</v>
      </c>
      <c r="R22" s="196">
        <v>1.0128600000000001</v>
      </c>
      <c r="S22" s="196">
        <v>2.4967999999999999</v>
      </c>
      <c r="T22" s="196">
        <v>16.449000000000002</v>
      </c>
      <c r="U22" s="196">
        <v>43.173000000000002</v>
      </c>
      <c r="V22" s="196">
        <v>3780</v>
      </c>
      <c r="W22" s="196">
        <v>262.60416670000001</v>
      </c>
      <c r="X22" s="196">
        <v>18.590299999999999</v>
      </c>
      <c r="Y22" s="196">
        <v>154.56</v>
      </c>
      <c r="Z22" s="197">
        <v>0.77907608695652197</v>
      </c>
    </row>
    <row r="23" spans="2:26" x14ac:dyDescent="0.35">
      <c r="B23" s="195" t="s">
        <v>31</v>
      </c>
      <c r="C23" s="196" t="s">
        <v>1517</v>
      </c>
      <c r="D23" s="196">
        <v>4</v>
      </c>
      <c r="E23" s="196">
        <v>101.6892</v>
      </c>
      <c r="F23" s="196">
        <v>29.785057999999999</v>
      </c>
      <c r="G23" s="196">
        <v>3926</v>
      </c>
      <c r="H23" s="196">
        <v>64.7</v>
      </c>
      <c r="I23" s="196">
        <v>37.4</v>
      </c>
      <c r="J23" s="196">
        <v>7.64</v>
      </c>
      <c r="K23" s="196">
        <v>340</v>
      </c>
      <c r="L23" s="196">
        <v>7.3271761260000003</v>
      </c>
      <c r="M23" s="196">
        <v>1.857140588</v>
      </c>
      <c r="N23" s="196">
        <v>0.96103518499999996</v>
      </c>
      <c r="O23" s="196">
        <v>345.30439250000001</v>
      </c>
      <c r="P23" s="196">
        <v>15.43414634</v>
      </c>
      <c r="Q23" s="196">
        <v>5.3031436330000004</v>
      </c>
      <c r="R23" s="196">
        <v>0.92402499999999999</v>
      </c>
      <c r="S23" s="196">
        <v>2.8910300000000002</v>
      </c>
      <c r="T23" s="196">
        <v>17.997</v>
      </c>
      <c r="U23" s="196">
        <v>38.493000000000002</v>
      </c>
      <c r="V23" s="196">
        <v>3840</v>
      </c>
      <c r="W23" s="196">
        <v>251.45228220000001</v>
      </c>
      <c r="X23" s="196">
        <v>20.621300000000002</v>
      </c>
      <c r="Y23" s="196">
        <v>133.67400000000001</v>
      </c>
      <c r="Z23" s="197">
        <v>0.74766471664896217</v>
      </c>
    </row>
    <row r="24" spans="2:26" x14ac:dyDescent="0.35">
      <c r="B24" s="195" t="s">
        <v>31</v>
      </c>
      <c r="C24" s="196" t="s">
        <v>1517</v>
      </c>
      <c r="D24" s="196">
        <v>5</v>
      </c>
      <c r="E24" s="196">
        <v>101.688709</v>
      </c>
      <c r="F24" s="196">
        <v>29.785625</v>
      </c>
      <c r="G24" s="196">
        <v>3922</v>
      </c>
      <c r="H24" s="196">
        <v>64.5</v>
      </c>
      <c r="I24" s="196">
        <v>38.200000000000003</v>
      </c>
      <c r="J24" s="196">
        <v>7.96</v>
      </c>
      <c r="K24" s="196">
        <v>294</v>
      </c>
      <c r="L24" s="196">
        <v>5.4515450640000003</v>
      </c>
      <c r="M24" s="196">
        <v>1.456815642</v>
      </c>
      <c r="N24" s="196">
        <v>0.855727554</v>
      </c>
      <c r="O24" s="196">
        <v>397.4454106</v>
      </c>
      <c r="P24" s="196">
        <v>18.290766210000001</v>
      </c>
      <c r="Q24" s="196">
        <v>5.7154999999999996</v>
      </c>
      <c r="R24" s="196">
        <v>1.195225</v>
      </c>
      <c r="S24" s="196">
        <v>2.1338300000000001</v>
      </c>
      <c r="T24" s="196">
        <v>20.253</v>
      </c>
      <c r="U24" s="196">
        <v>34.866</v>
      </c>
      <c r="V24" s="196">
        <v>4620</v>
      </c>
      <c r="W24" s="196">
        <v>294.02515720000002</v>
      </c>
      <c r="X24" s="196">
        <v>20.354299999999999</v>
      </c>
      <c r="Y24" s="196">
        <v>89.393999999999991</v>
      </c>
      <c r="Z24" s="197">
        <v>0.62617923648865337</v>
      </c>
    </row>
    <row r="25" spans="2:26" x14ac:dyDescent="0.35">
      <c r="B25" s="28" t="s">
        <v>32</v>
      </c>
      <c r="C25" s="187" t="s">
        <v>1518</v>
      </c>
      <c r="D25" s="187">
        <v>1</v>
      </c>
      <c r="E25" s="187">
        <v>101.676663</v>
      </c>
      <c r="F25" s="187">
        <v>29.789864999999999</v>
      </c>
      <c r="G25" s="187">
        <v>3838</v>
      </c>
      <c r="H25" s="187">
        <v>61</v>
      </c>
      <c r="I25" s="187">
        <v>62.4</v>
      </c>
      <c r="J25" s="187">
        <v>7.36</v>
      </c>
      <c r="K25" s="187">
        <v>251</v>
      </c>
      <c r="L25" s="187">
        <v>7.4819338430000002</v>
      </c>
      <c r="M25" s="187">
        <v>1.8956088849999999</v>
      </c>
      <c r="N25" s="187">
        <v>1.040464853</v>
      </c>
      <c r="O25" s="187">
        <v>291.88408870000001</v>
      </c>
      <c r="P25" s="187">
        <v>12.42044359</v>
      </c>
      <c r="Q25" s="187">
        <v>4.1718307389999998</v>
      </c>
      <c r="R25" s="187">
        <v>3.4125649999999998</v>
      </c>
      <c r="S25" s="187">
        <v>1.5139100000000001</v>
      </c>
      <c r="T25" s="187">
        <v>13.673999999999999</v>
      </c>
      <c r="U25" s="187">
        <v>30.771000000000001</v>
      </c>
      <c r="V25" s="187">
        <v>3200</v>
      </c>
      <c r="W25" s="187">
        <v>121.7592593</v>
      </c>
      <c r="X25" s="187">
        <v>10.7423</v>
      </c>
      <c r="Y25" s="187">
        <v>128.17466666666667</v>
      </c>
      <c r="Z25" s="37">
        <v>0.62267114666444756</v>
      </c>
    </row>
    <row r="26" spans="2:26" x14ac:dyDescent="0.35">
      <c r="B26" s="28" t="s">
        <v>32</v>
      </c>
      <c r="C26" s="187" t="s">
        <v>1518</v>
      </c>
      <c r="D26" s="187">
        <v>2</v>
      </c>
      <c r="E26" s="187">
        <v>101.67584100000001</v>
      </c>
      <c r="F26" s="187">
        <v>29.790026999999998</v>
      </c>
      <c r="G26" s="187">
        <v>3819</v>
      </c>
      <c r="H26" s="187">
        <v>61.7</v>
      </c>
      <c r="I26" s="187">
        <v>62.4</v>
      </c>
      <c r="J26" s="187">
        <v>7.64</v>
      </c>
      <c r="K26" s="187">
        <v>285</v>
      </c>
      <c r="L26" s="187">
        <v>6.9857581350000002</v>
      </c>
      <c r="M26" s="187">
        <v>1.611180321</v>
      </c>
      <c r="N26" s="187">
        <v>0.94918543899999996</v>
      </c>
      <c r="O26" s="187">
        <v>317.32970299999999</v>
      </c>
      <c r="P26" s="187">
        <v>13.80629302</v>
      </c>
      <c r="Q26" s="187">
        <v>4.4357763290000003</v>
      </c>
      <c r="R26" s="187">
        <v>3.33996</v>
      </c>
      <c r="S26" s="187">
        <v>1.2010799999999999</v>
      </c>
      <c r="T26" s="187">
        <v>12.513</v>
      </c>
      <c r="U26" s="187">
        <v>31.824000000000002</v>
      </c>
      <c r="V26" s="187">
        <v>3900</v>
      </c>
      <c r="W26" s="187">
        <v>239.0710383</v>
      </c>
      <c r="X26" s="187">
        <v>13.3233</v>
      </c>
      <c r="Y26" s="187">
        <v>99.288666666666657</v>
      </c>
      <c r="Z26" s="37">
        <v>0.96284235193006251</v>
      </c>
    </row>
    <row r="27" spans="2:26" x14ac:dyDescent="0.35">
      <c r="B27" s="28" t="s">
        <v>32</v>
      </c>
      <c r="C27" s="187" t="s">
        <v>1518</v>
      </c>
      <c r="D27" s="187">
        <v>3</v>
      </c>
      <c r="E27" s="187">
        <v>101.67535100000001</v>
      </c>
      <c r="F27" s="187">
        <v>29.790388</v>
      </c>
      <c r="G27" s="187">
        <v>3813</v>
      </c>
      <c r="H27" s="187">
        <v>59.2</v>
      </c>
      <c r="I27" s="187">
        <v>70.5</v>
      </c>
      <c r="J27" s="187">
        <v>7.67</v>
      </c>
      <c r="K27" s="187">
        <v>253</v>
      </c>
      <c r="L27" s="187">
        <v>8.0722156349999992</v>
      </c>
      <c r="M27" s="187">
        <v>1.820923815</v>
      </c>
      <c r="N27" s="187">
        <v>1.341605596</v>
      </c>
      <c r="O27" s="187">
        <v>346.6102439</v>
      </c>
      <c r="P27" s="187">
        <v>15.748331739999999</v>
      </c>
      <c r="Q27" s="187">
        <v>5.0473195530000003</v>
      </c>
      <c r="R27" s="187">
        <v>3.48129</v>
      </c>
      <c r="S27" s="187">
        <v>1.6529</v>
      </c>
      <c r="T27" s="187">
        <v>18.864999999999998</v>
      </c>
      <c r="U27" s="187">
        <v>35.802</v>
      </c>
      <c r="V27" s="187">
        <v>3800</v>
      </c>
      <c r="W27" s="187">
        <v>200</v>
      </c>
      <c r="X27" s="187">
        <v>10.3863</v>
      </c>
      <c r="Y27" s="187">
        <v>115.36466666666666</v>
      </c>
      <c r="Z27" s="37">
        <v>0.87985345021872674</v>
      </c>
    </row>
    <row r="28" spans="2:26" x14ac:dyDescent="0.35">
      <c r="B28" s="28" t="s">
        <v>32</v>
      </c>
      <c r="C28" s="187" t="s">
        <v>1518</v>
      </c>
      <c r="D28" s="187">
        <v>4</v>
      </c>
      <c r="E28" s="187">
        <v>101.674667</v>
      </c>
      <c r="F28" s="187">
        <v>29.790718999999999</v>
      </c>
      <c r="G28" s="187">
        <v>3809</v>
      </c>
      <c r="H28" s="187">
        <v>58.4</v>
      </c>
      <c r="I28" s="187">
        <v>72</v>
      </c>
      <c r="J28" s="187">
        <v>7.96</v>
      </c>
      <c r="K28" s="187">
        <v>212</v>
      </c>
      <c r="L28" s="187">
        <v>5.9363778859999998</v>
      </c>
      <c r="M28" s="187">
        <v>1.434049226</v>
      </c>
      <c r="N28" s="187">
        <v>0.86209855000000002</v>
      </c>
      <c r="O28" s="187">
        <v>327.4881517</v>
      </c>
      <c r="P28" s="187">
        <v>14.950787399999999</v>
      </c>
      <c r="Q28" s="187">
        <v>4.7532129630000002</v>
      </c>
      <c r="R28" s="187">
        <v>3.107675</v>
      </c>
      <c r="S28" s="187">
        <v>2.1958899999999999</v>
      </c>
      <c r="T28" s="187">
        <v>21.058</v>
      </c>
      <c r="U28" s="187">
        <v>32.643000000000001</v>
      </c>
      <c r="V28" s="187">
        <v>3100</v>
      </c>
      <c r="W28" s="187">
        <v>159.7222222</v>
      </c>
      <c r="X28" s="187">
        <v>16.5273</v>
      </c>
      <c r="Y28" s="187">
        <v>60.016666666666673</v>
      </c>
      <c r="Z28" s="37">
        <v>1.0846986948069977</v>
      </c>
    </row>
    <row r="29" spans="2:26" ht="14.6" thickBot="1" x14ac:dyDescent="0.4">
      <c r="B29" s="29" t="s">
        <v>32</v>
      </c>
      <c r="C29" s="39" t="s">
        <v>1518</v>
      </c>
      <c r="D29" s="39">
        <v>5</v>
      </c>
      <c r="E29" s="39">
        <v>101.67403400000001</v>
      </c>
      <c r="F29" s="39">
        <v>29.790703000000001</v>
      </c>
      <c r="G29" s="39">
        <v>3797</v>
      </c>
      <c r="H29" s="39">
        <v>57</v>
      </c>
      <c r="I29" s="39">
        <v>76.099999999999994</v>
      </c>
      <c r="J29" s="39">
        <v>7.67</v>
      </c>
      <c r="K29" s="39">
        <v>285</v>
      </c>
      <c r="L29" s="39">
        <v>7.9828760399999998</v>
      </c>
      <c r="M29" s="39">
        <v>2.3269705410000001</v>
      </c>
      <c r="N29" s="39">
        <v>1.2343507929999999</v>
      </c>
      <c r="O29" s="39">
        <v>336.29737089999998</v>
      </c>
      <c r="P29" s="39">
        <v>15.20833333</v>
      </c>
      <c r="Q29" s="39">
        <v>4.4789167479999996</v>
      </c>
      <c r="R29" s="39">
        <v>3.165575</v>
      </c>
      <c r="S29" s="39">
        <v>2.06501</v>
      </c>
      <c r="T29" s="39">
        <v>14.448</v>
      </c>
      <c r="U29" s="39">
        <v>29.952000000000002</v>
      </c>
      <c r="V29" s="39">
        <v>4500</v>
      </c>
      <c r="W29" s="39">
        <v>196.85990340000001</v>
      </c>
      <c r="X29" s="39">
        <v>9.4962999999999997</v>
      </c>
      <c r="Y29" s="39">
        <v>106.42466666666667</v>
      </c>
      <c r="Z29" s="51">
        <v>1.1434880384873181</v>
      </c>
    </row>
    <row r="31" spans="2:26" x14ac:dyDescent="0.35">
      <c r="B31" s="129" t="s">
        <v>1875</v>
      </c>
    </row>
    <row r="32" spans="2:26" x14ac:dyDescent="0.35">
      <c r="B32" s="180" t="s">
        <v>1997</v>
      </c>
      <c r="C32" s="180"/>
      <c r="D32" s="180"/>
      <c r="E32" s="180"/>
      <c r="F32" s="180"/>
      <c r="G32" s="180"/>
      <c r="H32" s="180"/>
      <c r="I32" s="180"/>
      <c r="J32" s="180"/>
      <c r="K32" s="180"/>
      <c r="L32" s="180"/>
      <c r="M32" s="180"/>
      <c r="N32" s="180"/>
      <c r="O32" s="180"/>
      <c r="P32" s="180"/>
      <c r="Q32" s="180"/>
      <c r="R32" s="180"/>
      <c r="S32" s="180"/>
    </row>
    <row r="33" spans="2:19" x14ac:dyDescent="0.35">
      <c r="B33" s="180"/>
      <c r="C33" s="180"/>
      <c r="D33" s="180"/>
      <c r="E33" s="180"/>
      <c r="F33" s="180"/>
      <c r="G33" s="180"/>
      <c r="H33" s="180"/>
      <c r="I33" s="180"/>
      <c r="J33" s="180"/>
      <c r="K33" s="180"/>
      <c r="L33" s="180"/>
      <c r="M33" s="180"/>
      <c r="N33" s="180"/>
      <c r="O33" s="180"/>
      <c r="P33" s="180"/>
      <c r="Q33" s="180"/>
      <c r="R33" s="180"/>
      <c r="S33" s="180"/>
    </row>
    <row r="34" spans="2:19" x14ac:dyDescent="0.35">
      <c r="B34" s="180"/>
      <c r="C34" s="180"/>
      <c r="D34" s="180"/>
      <c r="E34" s="180"/>
      <c r="F34" s="180"/>
      <c r="G34" s="180"/>
      <c r="H34" s="180"/>
      <c r="I34" s="180"/>
      <c r="J34" s="180"/>
      <c r="K34" s="180"/>
      <c r="L34" s="180"/>
      <c r="M34" s="180"/>
      <c r="N34" s="180"/>
      <c r="O34" s="180"/>
      <c r="P34" s="180"/>
      <c r="Q34" s="180"/>
      <c r="R34" s="180"/>
      <c r="S34" s="180"/>
    </row>
    <row r="35" spans="2:19" x14ac:dyDescent="0.35">
      <c r="B35" s="180"/>
      <c r="C35" s="180"/>
      <c r="D35" s="180"/>
      <c r="E35" s="180"/>
      <c r="F35" s="180"/>
      <c r="G35" s="180"/>
      <c r="H35" s="180"/>
      <c r="I35" s="180"/>
      <c r="J35" s="180"/>
      <c r="K35" s="180"/>
      <c r="L35" s="180"/>
      <c r="M35" s="180"/>
      <c r="N35" s="180"/>
      <c r="O35" s="180"/>
      <c r="P35" s="180"/>
      <c r="Q35" s="180"/>
      <c r="R35" s="180"/>
      <c r="S35" s="180"/>
    </row>
    <row r="36" spans="2:19" x14ac:dyDescent="0.35">
      <c r="B36" s="180"/>
      <c r="C36" s="180"/>
      <c r="D36" s="180"/>
      <c r="E36" s="180"/>
      <c r="F36" s="180"/>
      <c r="G36" s="180"/>
      <c r="H36" s="180"/>
      <c r="I36" s="180"/>
      <c r="J36" s="180"/>
      <c r="K36" s="180"/>
      <c r="L36" s="180"/>
      <c r="M36" s="180"/>
      <c r="N36" s="180"/>
      <c r="O36" s="180"/>
      <c r="P36" s="180"/>
      <c r="Q36" s="180"/>
      <c r="R36" s="180"/>
      <c r="S36" s="180"/>
    </row>
    <row r="37" spans="2:19" x14ac:dyDescent="0.35">
      <c r="B37" s="180"/>
      <c r="C37" s="180"/>
      <c r="D37" s="180"/>
      <c r="E37" s="180"/>
      <c r="F37" s="180"/>
      <c r="G37" s="180"/>
      <c r="H37" s="180"/>
      <c r="I37" s="180"/>
      <c r="J37" s="180"/>
      <c r="K37" s="180"/>
      <c r="L37" s="180"/>
      <c r="M37" s="180"/>
      <c r="N37" s="180"/>
      <c r="O37" s="180"/>
      <c r="P37" s="180"/>
      <c r="Q37" s="180"/>
      <c r="R37" s="180"/>
      <c r="S37" s="180"/>
    </row>
    <row r="38" spans="2:19" x14ac:dyDescent="0.35">
      <c r="B38" s="180"/>
      <c r="C38" s="180"/>
      <c r="D38" s="180"/>
      <c r="E38" s="180"/>
      <c r="F38" s="180"/>
      <c r="G38" s="180"/>
      <c r="H38" s="180"/>
      <c r="I38" s="180"/>
      <c r="J38" s="180"/>
      <c r="K38" s="180"/>
      <c r="L38" s="180"/>
      <c r="M38" s="180"/>
      <c r="N38" s="180"/>
      <c r="O38" s="180"/>
      <c r="P38" s="180"/>
      <c r="Q38" s="180"/>
      <c r="R38" s="180"/>
      <c r="S38" s="180"/>
    </row>
    <row r="39" spans="2:19" x14ac:dyDescent="0.35">
      <c r="B39" s="180"/>
      <c r="C39" s="180"/>
      <c r="D39" s="180"/>
      <c r="E39" s="180"/>
      <c r="F39" s="180"/>
      <c r="G39" s="180"/>
      <c r="H39" s="180"/>
      <c r="I39" s="180"/>
      <c r="J39" s="180"/>
      <c r="K39" s="180"/>
      <c r="L39" s="180"/>
      <c r="M39" s="180"/>
      <c r="N39" s="180"/>
      <c r="O39" s="180"/>
      <c r="P39" s="180"/>
      <c r="Q39" s="180"/>
      <c r="R39" s="180"/>
      <c r="S39" s="180"/>
    </row>
    <row r="40" spans="2:19" x14ac:dyDescent="0.35">
      <c r="B40" s="180"/>
      <c r="C40" s="180"/>
      <c r="D40" s="180"/>
      <c r="E40" s="180"/>
      <c r="F40" s="180"/>
      <c r="G40" s="180"/>
      <c r="H40" s="180"/>
      <c r="I40" s="180"/>
      <c r="J40" s="180"/>
      <c r="K40" s="180"/>
      <c r="L40" s="180"/>
      <c r="M40" s="180"/>
      <c r="N40" s="180"/>
      <c r="O40" s="180"/>
      <c r="P40" s="180"/>
      <c r="Q40" s="180"/>
      <c r="R40" s="180"/>
      <c r="S40" s="180"/>
    </row>
    <row r="41" spans="2:19" x14ac:dyDescent="0.35">
      <c r="B41" s="180"/>
      <c r="C41" s="180"/>
      <c r="D41" s="180"/>
      <c r="E41" s="180"/>
      <c r="F41" s="180"/>
      <c r="G41" s="180"/>
      <c r="H41" s="180"/>
      <c r="I41" s="180"/>
      <c r="J41" s="180"/>
      <c r="K41" s="180"/>
      <c r="L41" s="180"/>
      <c r="M41" s="180"/>
      <c r="N41" s="180"/>
      <c r="O41" s="180"/>
      <c r="P41" s="180"/>
      <c r="Q41" s="180"/>
      <c r="R41" s="180"/>
      <c r="S41" s="180"/>
    </row>
    <row r="42" spans="2:19" x14ac:dyDescent="0.35">
      <c r="B42" s="180"/>
      <c r="C42" s="180"/>
      <c r="D42" s="180"/>
      <c r="E42" s="180"/>
      <c r="F42" s="180"/>
      <c r="G42" s="180"/>
      <c r="H42" s="180"/>
      <c r="I42" s="180"/>
      <c r="J42" s="180"/>
      <c r="K42" s="180"/>
      <c r="L42" s="180"/>
      <c r="M42" s="180"/>
      <c r="N42" s="180"/>
      <c r="O42" s="180"/>
      <c r="P42" s="180"/>
      <c r="Q42" s="180"/>
      <c r="R42" s="180"/>
      <c r="S42" s="180"/>
    </row>
    <row r="43" spans="2:19" x14ac:dyDescent="0.35">
      <c r="B43" s="180"/>
      <c r="C43" s="180"/>
      <c r="D43" s="180"/>
      <c r="E43" s="180"/>
      <c r="F43" s="180"/>
      <c r="G43" s="180"/>
      <c r="H43" s="180"/>
      <c r="I43" s="180"/>
      <c r="J43" s="180"/>
      <c r="K43" s="180"/>
      <c r="L43" s="180"/>
      <c r="M43" s="180"/>
      <c r="N43" s="180"/>
      <c r="O43" s="180"/>
      <c r="P43" s="180"/>
      <c r="Q43" s="180"/>
      <c r="R43" s="180"/>
      <c r="S43" s="180"/>
    </row>
  </sheetData>
  <mergeCells count="6">
    <mergeCell ref="B2:Z2"/>
    <mergeCell ref="B3:D3"/>
    <mergeCell ref="E3:G3"/>
    <mergeCell ref="H3:N3"/>
    <mergeCell ref="O3:Z3"/>
    <mergeCell ref="B32:S4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9BEB-92EA-4FC9-8390-A0E7638AD0C0}">
  <dimension ref="B2:AR41"/>
  <sheetViews>
    <sheetView zoomScale="74" zoomScaleNormal="74" workbookViewId="0">
      <pane xSplit="1" ySplit="3" topLeftCell="B4" activePane="bottomRight" state="frozen"/>
      <selection pane="topRight" activeCell="B1" sqref="B1"/>
      <selection pane="bottomLeft" activeCell="A4" sqref="A4"/>
      <selection pane="bottomRight" activeCell="B2" sqref="B2:AR2"/>
    </sheetView>
  </sheetViews>
  <sheetFormatPr defaultColWidth="9.140625" defaultRowHeight="15" customHeight="1" x14ac:dyDescent="0.35"/>
  <cols>
    <col min="1" max="1" width="9.140625" style="78"/>
    <col min="2" max="2" width="10.35546875" style="78" customWidth="1"/>
    <col min="3" max="3" width="9.140625" style="78"/>
    <col min="4" max="44" width="15.640625" style="78" customWidth="1"/>
    <col min="45" max="16384" width="9.140625" style="78"/>
  </cols>
  <sheetData>
    <row r="2" spans="2:44" ht="25" customHeight="1" thickBot="1" x14ac:dyDescent="0.4">
      <c r="B2" s="206" t="s">
        <v>2002</v>
      </c>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206"/>
    </row>
    <row r="3" spans="2:44" ht="15" customHeight="1" thickBot="1" x14ac:dyDescent="0.4">
      <c r="B3" s="44" t="s">
        <v>1490</v>
      </c>
      <c r="C3" s="45" t="s">
        <v>1491</v>
      </c>
      <c r="D3" s="204" t="s">
        <v>1519</v>
      </c>
      <c r="E3" s="204" t="s">
        <v>1520</v>
      </c>
      <c r="F3" s="204" t="s">
        <v>1521</v>
      </c>
      <c r="G3" s="204" t="s">
        <v>1522</v>
      </c>
      <c r="H3" s="204" t="s">
        <v>1523</v>
      </c>
      <c r="I3" s="204" t="s">
        <v>1524</v>
      </c>
      <c r="J3" s="204" t="s">
        <v>1525</v>
      </c>
      <c r="K3" s="204" t="s">
        <v>1526</v>
      </c>
      <c r="L3" s="204" t="s">
        <v>1527</v>
      </c>
      <c r="M3" s="204" t="s">
        <v>1528</v>
      </c>
      <c r="N3" s="204" t="s">
        <v>1529</v>
      </c>
      <c r="O3" s="204" t="s">
        <v>1530</v>
      </c>
      <c r="P3" s="204" t="s">
        <v>1531</v>
      </c>
      <c r="Q3" s="204" t="s">
        <v>1532</v>
      </c>
      <c r="R3" s="204" t="s">
        <v>1533</v>
      </c>
      <c r="S3" s="204" t="s">
        <v>1534</v>
      </c>
      <c r="T3" s="204" t="s">
        <v>1535</v>
      </c>
      <c r="U3" s="204" t="s">
        <v>1536</v>
      </c>
      <c r="V3" s="204" t="s">
        <v>1537</v>
      </c>
      <c r="W3" s="204" t="s">
        <v>1538</v>
      </c>
      <c r="X3" s="204" t="s">
        <v>1539</v>
      </c>
      <c r="Y3" s="204" t="s">
        <v>1540</v>
      </c>
      <c r="Z3" s="204" t="s">
        <v>1541</v>
      </c>
      <c r="AA3" s="204" t="s">
        <v>1542</v>
      </c>
      <c r="AB3" s="204" t="s">
        <v>1543</v>
      </c>
      <c r="AC3" s="204" t="s">
        <v>1544</v>
      </c>
      <c r="AD3" s="204" t="s">
        <v>1545</v>
      </c>
      <c r="AE3" s="204" t="s">
        <v>1546</v>
      </c>
      <c r="AF3" s="204" t="s">
        <v>1547</v>
      </c>
      <c r="AG3" s="204" t="s">
        <v>1548</v>
      </c>
      <c r="AH3" s="204" t="s">
        <v>1549</v>
      </c>
      <c r="AI3" s="204" t="s">
        <v>1550</v>
      </c>
      <c r="AJ3" s="204" t="s">
        <v>1551</v>
      </c>
      <c r="AK3" s="204" t="s">
        <v>1552</v>
      </c>
      <c r="AL3" s="204" t="s">
        <v>1553</v>
      </c>
      <c r="AM3" s="204" t="s">
        <v>1554</v>
      </c>
      <c r="AN3" s="204" t="s">
        <v>1555</v>
      </c>
      <c r="AO3" s="204" t="s">
        <v>1556</v>
      </c>
      <c r="AP3" s="204" t="s">
        <v>1557</v>
      </c>
      <c r="AQ3" s="204" t="s">
        <v>1558</v>
      </c>
      <c r="AR3" s="205" t="s">
        <v>1559</v>
      </c>
    </row>
    <row r="4" spans="2:44" ht="15" customHeight="1" x14ac:dyDescent="0.35">
      <c r="B4" s="28" t="s">
        <v>28</v>
      </c>
      <c r="C4" s="187" t="s">
        <v>1513</v>
      </c>
      <c r="D4" s="202"/>
      <c r="E4" s="202"/>
      <c r="F4" s="202"/>
      <c r="G4" s="202"/>
      <c r="H4" s="202"/>
      <c r="I4" s="202"/>
      <c r="J4" s="202"/>
      <c r="K4" s="202"/>
      <c r="L4" s="202"/>
      <c r="M4" s="202"/>
      <c r="N4" s="202"/>
      <c r="O4" s="202"/>
      <c r="P4" s="202"/>
      <c r="Q4" s="202"/>
      <c r="R4" s="202"/>
      <c r="S4" s="202"/>
      <c r="T4" s="202"/>
      <c r="U4" s="202"/>
      <c r="V4" s="202"/>
      <c r="W4" s="202"/>
      <c r="X4" s="202"/>
      <c r="Y4" s="202"/>
      <c r="Z4" s="202">
        <v>0.2</v>
      </c>
      <c r="AA4" s="202"/>
      <c r="AB4" s="202"/>
      <c r="AC4" s="202"/>
      <c r="AD4" s="202"/>
      <c r="AE4" s="202"/>
      <c r="AF4" s="202"/>
      <c r="AG4" s="202"/>
      <c r="AH4" s="202"/>
      <c r="AI4" s="202">
        <v>0.36</v>
      </c>
      <c r="AJ4" s="202"/>
      <c r="AK4" s="202">
        <v>0.4</v>
      </c>
      <c r="AL4" s="202">
        <v>0.04</v>
      </c>
      <c r="AM4" s="202"/>
      <c r="AN4" s="202"/>
      <c r="AO4" s="202"/>
      <c r="AP4" s="202"/>
      <c r="AQ4" s="202"/>
      <c r="AR4" s="37"/>
    </row>
    <row r="5" spans="2:44" ht="15" customHeight="1" x14ac:dyDescent="0.35">
      <c r="B5" s="28" t="s">
        <v>28</v>
      </c>
      <c r="C5" s="187" t="s">
        <v>1514</v>
      </c>
      <c r="D5" s="202"/>
      <c r="E5" s="202"/>
      <c r="F5" s="202"/>
      <c r="G5" s="202">
        <v>0.2</v>
      </c>
      <c r="H5" s="202"/>
      <c r="I5" s="202"/>
      <c r="J5" s="202"/>
      <c r="K5" s="202"/>
      <c r="L5" s="202"/>
      <c r="M5" s="202"/>
      <c r="N5" s="202"/>
      <c r="O5" s="202"/>
      <c r="P5" s="202"/>
      <c r="Q5" s="202"/>
      <c r="R5" s="202"/>
      <c r="S5" s="202"/>
      <c r="T5" s="202"/>
      <c r="U5" s="202"/>
      <c r="V5" s="202"/>
      <c r="W5" s="202"/>
      <c r="X5" s="202"/>
      <c r="Y5" s="202"/>
      <c r="Z5" s="202">
        <v>0.6</v>
      </c>
      <c r="AA5" s="202"/>
      <c r="AB5" s="202"/>
      <c r="AC5" s="202"/>
      <c r="AD5" s="202"/>
      <c r="AE5" s="202"/>
      <c r="AF5" s="202"/>
      <c r="AG5" s="202"/>
      <c r="AH5" s="202"/>
      <c r="AI5" s="202"/>
      <c r="AJ5" s="202"/>
      <c r="AK5" s="202">
        <v>0.2</v>
      </c>
      <c r="AL5" s="202"/>
      <c r="AM5" s="202"/>
      <c r="AN5" s="202"/>
      <c r="AO5" s="202"/>
      <c r="AP5" s="202"/>
      <c r="AQ5" s="202"/>
      <c r="AR5" s="37"/>
    </row>
    <row r="6" spans="2:44" ht="15" customHeight="1" x14ac:dyDescent="0.35">
      <c r="B6" s="28" t="s">
        <v>28</v>
      </c>
      <c r="C6" s="187" t="s">
        <v>1514</v>
      </c>
      <c r="D6" s="202"/>
      <c r="E6" s="202"/>
      <c r="F6" s="202"/>
      <c r="G6" s="202">
        <v>0.3</v>
      </c>
      <c r="H6" s="202"/>
      <c r="I6" s="202"/>
      <c r="J6" s="202"/>
      <c r="K6" s="202"/>
      <c r="L6" s="202"/>
      <c r="M6" s="202"/>
      <c r="N6" s="202"/>
      <c r="O6" s="202"/>
      <c r="P6" s="202"/>
      <c r="Q6" s="202"/>
      <c r="R6" s="202"/>
      <c r="S6" s="202"/>
      <c r="T6" s="202"/>
      <c r="U6" s="202"/>
      <c r="V6" s="202"/>
      <c r="W6" s="202"/>
      <c r="X6" s="202"/>
      <c r="Y6" s="202"/>
      <c r="Z6" s="202">
        <v>0.24</v>
      </c>
      <c r="AA6" s="202"/>
      <c r="AB6" s="202"/>
      <c r="AC6" s="202"/>
      <c r="AD6" s="202"/>
      <c r="AE6" s="202"/>
      <c r="AF6" s="202"/>
      <c r="AG6" s="202"/>
      <c r="AH6" s="202"/>
      <c r="AI6" s="202"/>
      <c r="AJ6" s="202"/>
      <c r="AK6" s="202">
        <v>0.4</v>
      </c>
      <c r="AL6" s="202">
        <v>0.06</v>
      </c>
      <c r="AM6" s="202"/>
      <c r="AN6" s="202"/>
      <c r="AO6" s="202"/>
      <c r="AP6" s="202"/>
      <c r="AQ6" s="202"/>
      <c r="AR6" s="37"/>
    </row>
    <row r="7" spans="2:44" ht="15" customHeight="1" x14ac:dyDescent="0.35">
      <c r="B7" s="28" t="s">
        <v>28</v>
      </c>
      <c r="C7" s="187" t="s">
        <v>1514</v>
      </c>
      <c r="D7" s="202"/>
      <c r="E7" s="202"/>
      <c r="F7" s="202"/>
      <c r="G7" s="202">
        <v>0.01</v>
      </c>
      <c r="H7" s="202"/>
      <c r="I7" s="202"/>
      <c r="J7" s="202"/>
      <c r="K7" s="202"/>
      <c r="L7" s="202"/>
      <c r="M7" s="202"/>
      <c r="N7" s="202"/>
      <c r="O7" s="202">
        <v>0.2</v>
      </c>
      <c r="P7" s="202"/>
      <c r="Q7" s="202"/>
      <c r="R7" s="202"/>
      <c r="S7" s="202"/>
      <c r="T7" s="202"/>
      <c r="U7" s="202"/>
      <c r="V7" s="202"/>
      <c r="W7" s="202"/>
      <c r="X7" s="202"/>
      <c r="Y7" s="202"/>
      <c r="Z7" s="202">
        <v>0.23</v>
      </c>
      <c r="AA7" s="202"/>
      <c r="AB7" s="202"/>
      <c r="AC7" s="202"/>
      <c r="AD7" s="202"/>
      <c r="AE7" s="202"/>
      <c r="AF7" s="202"/>
      <c r="AG7" s="202"/>
      <c r="AH7" s="202"/>
      <c r="AI7" s="202"/>
      <c r="AJ7" s="202"/>
      <c r="AK7" s="202">
        <v>0.56000000000000005</v>
      </c>
      <c r="AL7" s="202"/>
      <c r="AM7" s="202"/>
      <c r="AN7" s="202"/>
      <c r="AO7" s="202"/>
      <c r="AP7" s="202"/>
      <c r="AQ7" s="202"/>
      <c r="AR7" s="37"/>
    </row>
    <row r="8" spans="2:44" ht="15" customHeight="1" x14ac:dyDescent="0.35">
      <c r="B8" s="28" t="s">
        <v>28</v>
      </c>
      <c r="C8" s="187" t="s">
        <v>1514</v>
      </c>
      <c r="D8" s="202"/>
      <c r="E8" s="202"/>
      <c r="F8" s="202"/>
      <c r="G8" s="202"/>
      <c r="H8" s="202"/>
      <c r="I8" s="202"/>
      <c r="J8" s="202"/>
      <c r="K8" s="202"/>
      <c r="L8" s="202"/>
      <c r="M8" s="202"/>
      <c r="N8" s="202"/>
      <c r="O8" s="202"/>
      <c r="P8" s="202"/>
      <c r="Q8" s="202">
        <v>0.04</v>
      </c>
      <c r="R8" s="202"/>
      <c r="S8" s="202"/>
      <c r="T8" s="202"/>
      <c r="U8" s="202"/>
      <c r="V8" s="202"/>
      <c r="W8" s="202"/>
      <c r="X8" s="202"/>
      <c r="Y8" s="202"/>
      <c r="Z8" s="202">
        <v>0.28000000000000003</v>
      </c>
      <c r="AA8" s="202"/>
      <c r="AB8" s="202"/>
      <c r="AC8" s="202"/>
      <c r="AD8" s="202"/>
      <c r="AE8" s="202"/>
      <c r="AF8" s="202"/>
      <c r="AG8" s="202"/>
      <c r="AH8" s="202"/>
      <c r="AI8" s="202">
        <v>0.1</v>
      </c>
      <c r="AJ8" s="202"/>
      <c r="AK8" s="202">
        <v>0.55000000000000004</v>
      </c>
      <c r="AL8" s="202"/>
      <c r="AM8" s="202"/>
      <c r="AN8" s="202"/>
      <c r="AO8" s="202"/>
      <c r="AP8" s="202"/>
      <c r="AQ8" s="202">
        <v>0.03</v>
      </c>
      <c r="AR8" s="37"/>
    </row>
    <row r="9" spans="2:44" ht="15" customHeight="1" x14ac:dyDescent="0.35">
      <c r="B9" s="28" t="s">
        <v>29</v>
      </c>
      <c r="C9" s="187" t="s">
        <v>1515</v>
      </c>
      <c r="D9" s="202"/>
      <c r="E9" s="202"/>
      <c r="F9" s="202"/>
      <c r="G9" s="202"/>
      <c r="H9" s="202"/>
      <c r="I9" s="202"/>
      <c r="J9" s="202">
        <v>0.02</v>
      </c>
      <c r="K9" s="202"/>
      <c r="L9" s="202"/>
      <c r="M9" s="202">
        <v>0.04</v>
      </c>
      <c r="N9" s="202">
        <v>0.08</v>
      </c>
      <c r="O9" s="202">
        <v>0.14000000000000001</v>
      </c>
      <c r="P9" s="202"/>
      <c r="Q9" s="202">
        <v>0.02</v>
      </c>
      <c r="R9" s="202"/>
      <c r="S9" s="202"/>
      <c r="T9" s="202">
        <v>0.1</v>
      </c>
      <c r="U9" s="202"/>
      <c r="V9" s="202"/>
      <c r="W9" s="202"/>
      <c r="X9" s="202"/>
      <c r="Y9" s="202"/>
      <c r="Z9" s="202">
        <v>0.08</v>
      </c>
      <c r="AA9" s="202"/>
      <c r="AB9" s="202">
        <v>0.1</v>
      </c>
      <c r="AC9" s="202"/>
      <c r="AD9" s="202"/>
      <c r="AE9" s="202"/>
      <c r="AF9" s="202"/>
      <c r="AG9" s="202"/>
      <c r="AH9" s="202">
        <v>0.12</v>
      </c>
      <c r="AI9" s="202">
        <v>0.17</v>
      </c>
      <c r="AJ9" s="202"/>
      <c r="AK9" s="202">
        <v>0.13</v>
      </c>
      <c r="AL9" s="202"/>
      <c r="AM9" s="202"/>
      <c r="AN9" s="202"/>
      <c r="AO9" s="202"/>
      <c r="AP9" s="202"/>
      <c r="AQ9" s="202"/>
      <c r="AR9" s="37"/>
    </row>
    <row r="10" spans="2:44" ht="15" customHeight="1" x14ac:dyDescent="0.35">
      <c r="B10" s="28" t="s">
        <v>29</v>
      </c>
      <c r="C10" s="187" t="s">
        <v>1515</v>
      </c>
      <c r="D10" s="202"/>
      <c r="E10" s="202"/>
      <c r="F10" s="202"/>
      <c r="G10" s="202">
        <v>0.01</v>
      </c>
      <c r="H10" s="202"/>
      <c r="I10" s="202">
        <v>0.01</v>
      </c>
      <c r="J10" s="202"/>
      <c r="K10" s="202"/>
      <c r="L10" s="202"/>
      <c r="M10" s="202">
        <v>0.01</v>
      </c>
      <c r="N10" s="202"/>
      <c r="O10" s="202"/>
      <c r="P10" s="202"/>
      <c r="Q10" s="202"/>
      <c r="R10" s="202"/>
      <c r="S10" s="202"/>
      <c r="T10" s="202"/>
      <c r="U10" s="202"/>
      <c r="V10" s="202"/>
      <c r="W10" s="202"/>
      <c r="X10" s="202"/>
      <c r="Y10" s="202"/>
      <c r="Z10" s="202"/>
      <c r="AA10" s="202"/>
      <c r="AB10" s="202">
        <v>0.02</v>
      </c>
      <c r="AC10" s="202">
        <v>1.6E-2</v>
      </c>
      <c r="AD10" s="202"/>
      <c r="AE10" s="202"/>
      <c r="AF10" s="202"/>
      <c r="AG10" s="202"/>
      <c r="AH10" s="202"/>
      <c r="AI10" s="202">
        <v>0.45</v>
      </c>
      <c r="AJ10" s="202"/>
      <c r="AK10" s="202">
        <v>0.4</v>
      </c>
      <c r="AL10" s="202">
        <v>0.08</v>
      </c>
      <c r="AM10" s="202">
        <v>4.0000000000000001E-3</v>
      </c>
      <c r="AN10" s="202"/>
      <c r="AO10" s="202"/>
      <c r="AP10" s="202"/>
      <c r="AQ10" s="202"/>
      <c r="AR10" s="37"/>
    </row>
    <row r="11" spans="2:44" ht="15" customHeight="1" x14ac:dyDescent="0.35">
      <c r="B11" s="28" t="s">
        <v>29</v>
      </c>
      <c r="C11" s="187" t="s">
        <v>1515</v>
      </c>
      <c r="D11" s="202"/>
      <c r="E11" s="202"/>
      <c r="F11" s="202"/>
      <c r="G11" s="202">
        <v>3.5999999999999997E-2</v>
      </c>
      <c r="H11" s="202"/>
      <c r="I11" s="202">
        <v>0.02</v>
      </c>
      <c r="J11" s="202"/>
      <c r="K11" s="202"/>
      <c r="L11" s="202"/>
      <c r="M11" s="202"/>
      <c r="N11" s="202"/>
      <c r="O11" s="202"/>
      <c r="P11" s="202"/>
      <c r="Q11" s="202"/>
      <c r="R11" s="202"/>
      <c r="S11" s="202"/>
      <c r="T11" s="202"/>
      <c r="U11" s="202"/>
      <c r="V11" s="202"/>
      <c r="W11" s="202"/>
      <c r="X11" s="202"/>
      <c r="Y11" s="202"/>
      <c r="Z11" s="202"/>
      <c r="AA11" s="202"/>
      <c r="AB11" s="202">
        <v>0.05</v>
      </c>
      <c r="AC11" s="202"/>
      <c r="AD11" s="202"/>
      <c r="AE11" s="202"/>
      <c r="AF11" s="202"/>
      <c r="AG11" s="202"/>
      <c r="AH11" s="202">
        <v>0.02</v>
      </c>
      <c r="AI11" s="202">
        <v>0.4</v>
      </c>
      <c r="AJ11" s="202"/>
      <c r="AK11" s="202">
        <v>0.45</v>
      </c>
      <c r="AL11" s="202"/>
      <c r="AM11" s="202">
        <v>4.0000000000000001E-3</v>
      </c>
      <c r="AN11" s="202"/>
      <c r="AO11" s="202"/>
      <c r="AP11" s="202"/>
      <c r="AQ11" s="202">
        <v>0.02</v>
      </c>
      <c r="AR11" s="37"/>
    </row>
    <row r="12" spans="2:44" ht="15" customHeight="1" x14ac:dyDescent="0.35">
      <c r="B12" s="28" t="s">
        <v>29</v>
      </c>
      <c r="C12" s="187" t="s">
        <v>1515</v>
      </c>
      <c r="D12" s="202"/>
      <c r="E12" s="202"/>
      <c r="F12" s="202"/>
      <c r="G12" s="202"/>
      <c r="H12" s="202"/>
      <c r="I12" s="202">
        <v>0.09</v>
      </c>
      <c r="J12" s="202"/>
      <c r="K12" s="202"/>
      <c r="L12" s="202"/>
      <c r="M12" s="202">
        <v>0.01</v>
      </c>
      <c r="N12" s="202"/>
      <c r="O12" s="202"/>
      <c r="P12" s="202"/>
      <c r="Q12" s="202">
        <v>0.16</v>
      </c>
      <c r="R12" s="202"/>
      <c r="S12" s="202"/>
      <c r="T12" s="202"/>
      <c r="U12" s="202"/>
      <c r="V12" s="202"/>
      <c r="W12" s="202"/>
      <c r="X12" s="202"/>
      <c r="Y12" s="202"/>
      <c r="Z12" s="202">
        <v>0.02</v>
      </c>
      <c r="AA12" s="202"/>
      <c r="AB12" s="202"/>
      <c r="AC12" s="202"/>
      <c r="AD12" s="202"/>
      <c r="AE12" s="202"/>
      <c r="AF12" s="202"/>
      <c r="AG12" s="202"/>
      <c r="AH12" s="202"/>
      <c r="AI12" s="202">
        <v>0.54</v>
      </c>
      <c r="AJ12" s="202"/>
      <c r="AK12" s="202">
        <v>0.18</v>
      </c>
      <c r="AL12" s="202"/>
      <c r="AM12" s="202"/>
      <c r="AN12" s="202"/>
      <c r="AO12" s="202"/>
      <c r="AP12" s="202"/>
      <c r="AQ12" s="202"/>
      <c r="AR12" s="37"/>
    </row>
    <row r="13" spans="2:44" ht="15" customHeight="1" x14ac:dyDescent="0.35">
      <c r="B13" s="28" t="s">
        <v>29</v>
      </c>
      <c r="C13" s="187" t="s">
        <v>1515</v>
      </c>
      <c r="D13" s="202"/>
      <c r="E13" s="202"/>
      <c r="F13" s="202"/>
      <c r="G13" s="202"/>
      <c r="H13" s="202">
        <v>0.15</v>
      </c>
      <c r="I13" s="202"/>
      <c r="J13" s="202">
        <v>0.14000000000000001</v>
      </c>
      <c r="K13" s="202"/>
      <c r="L13" s="202">
        <v>0.1</v>
      </c>
      <c r="M13" s="202">
        <v>0.09</v>
      </c>
      <c r="N13" s="202"/>
      <c r="O13" s="202"/>
      <c r="P13" s="202"/>
      <c r="Q13" s="202"/>
      <c r="R13" s="202"/>
      <c r="S13" s="202"/>
      <c r="T13" s="202"/>
      <c r="U13" s="202"/>
      <c r="V13" s="202"/>
      <c r="W13" s="202"/>
      <c r="X13" s="202"/>
      <c r="Y13" s="202"/>
      <c r="Z13" s="202"/>
      <c r="AA13" s="202"/>
      <c r="AB13" s="202"/>
      <c r="AC13" s="202"/>
      <c r="AD13" s="202"/>
      <c r="AE13" s="202"/>
      <c r="AF13" s="202"/>
      <c r="AG13" s="202"/>
      <c r="AH13" s="202"/>
      <c r="AI13" s="202">
        <v>0.22</v>
      </c>
      <c r="AJ13" s="202"/>
      <c r="AK13" s="202">
        <v>0.24</v>
      </c>
      <c r="AL13" s="202"/>
      <c r="AM13" s="202"/>
      <c r="AN13" s="202"/>
      <c r="AO13" s="202"/>
      <c r="AP13" s="202"/>
      <c r="AQ13" s="202">
        <v>0.02</v>
      </c>
      <c r="AR13" s="37">
        <v>0.04</v>
      </c>
    </row>
    <row r="14" spans="2:44" ht="15" customHeight="1" x14ac:dyDescent="0.35">
      <c r="B14" s="28" t="s">
        <v>30</v>
      </c>
      <c r="C14" s="187" t="s">
        <v>1516</v>
      </c>
      <c r="D14" s="202"/>
      <c r="E14" s="202"/>
      <c r="F14" s="202"/>
      <c r="G14" s="202"/>
      <c r="H14" s="202"/>
      <c r="I14" s="202"/>
      <c r="J14" s="202"/>
      <c r="K14" s="202">
        <v>4.5999999999999999E-2</v>
      </c>
      <c r="L14" s="202"/>
      <c r="M14" s="202"/>
      <c r="N14" s="202"/>
      <c r="O14" s="202"/>
      <c r="P14" s="202"/>
      <c r="Q14" s="202">
        <v>0.02</v>
      </c>
      <c r="R14" s="202">
        <v>7.0000000000000007E-2</v>
      </c>
      <c r="S14" s="202"/>
      <c r="T14" s="202"/>
      <c r="U14" s="202">
        <v>0.06</v>
      </c>
      <c r="V14" s="202"/>
      <c r="W14" s="202"/>
      <c r="X14" s="202"/>
      <c r="Y14" s="202"/>
      <c r="Z14" s="202">
        <v>4.0000000000000001E-3</v>
      </c>
      <c r="AA14" s="202"/>
      <c r="AB14" s="202"/>
      <c r="AC14" s="202"/>
      <c r="AD14" s="202"/>
      <c r="AE14" s="202"/>
      <c r="AF14" s="202">
        <v>0.1</v>
      </c>
      <c r="AG14" s="202"/>
      <c r="AH14" s="202"/>
      <c r="AI14" s="202">
        <v>0.64</v>
      </c>
      <c r="AJ14" s="202"/>
      <c r="AK14" s="202">
        <v>0.06</v>
      </c>
      <c r="AL14" s="202"/>
      <c r="AM14" s="202"/>
      <c r="AN14" s="202"/>
      <c r="AO14" s="202"/>
      <c r="AP14" s="202"/>
      <c r="AQ14" s="202"/>
      <c r="AR14" s="37"/>
    </row>
    <row r="15" spans="2:44" ht="15" customHeight="1" x14ac:dyDescent="0.35">
      <c r="B15" s="28" t="s">
        <v>30</v>
      </c>
      <c r="C15" s="187" t="s">
        <v>1516</v>
      </c>
      <c r="D15" s="202"/>
      <c r="E15" s="202"/>
      <c r="F15" s="202"/>
      <c r="G15" s="202"/>
      <c r="H15" s="202"/>
      <c r="I15" s="202">
        <v>0.01</v>
      </c>
      <c r="J15" s="202"/>
      <c r="K15" s="202">
        <v>0.03</v>
      </c>
      <c r="L15" s="202">
        <v>0.04</v>
      </c>
      <c r="M15" s="202"/>
      <c r="N15" s="202"/>
      <c r="O15" s="202"/>
      <c r="P15" s="202"/>
      <c r="Q15" s="202">
        <v>0.01</v>
      </c>
      <c r="R15" s="202">
        <v>0.01</v>
      </c>
      <c r="S15" s="202"/>
      <c r="T15" s="202"/>
      <c r="U15" s="202">
        <v>0.06</v>
      </c>
      <c r="V15" s="202"/>
      <c r="W15" s="202"/>
      <c r="X15" s="202"/>
      <c r="Y15" s="202"/>
      <c r="Z15" s="202"/>
      <c r="AA15" s="202"/>
      <c r="AB15" s="202"/>
      <c r="AC15" s="202"/>
      <c r="AD15" s="202"/>
      <c r="AE15" s="202"/>
      <c r="AF15" s="202">
        <v>0.08</v>
      </c>
      <c r="AG15" s="202"/>
      <c r="AH15" s="202"/>
      <c r="AI15" s="202">
        <v>0.6</v>
      </c>
      <c r="AJ15" s="202"/>
      <c r="AK15" s="202">
        <v>0.16</v>
      </c>
      <c r="AL15" s="202"/>
      <c r="AM15" s="202"/>
      <c r="AN15" s="202"/>
      <c r="AO15" s="202"/>
      <c r="AP15" s="202"/>
      <c r="AQ15" s="202"/>
      <c r="AR15" s="37"/>
    </row>
    <row r="16" spans="2:44" ht="15" customHeight="1" x14ac:dyDescent="0.35">
      <c r="B16" s="28" t="s">
        <v>30</v>
      </c>
      <c r="C16" s="187" t="s">
        <v>1516</v>
      </c>
      <c r="D16" s="202"/>
      <c r="E16" s="202"/>
      <c r="F16" s="202"/>
      <c r="G16" s="202">
        <v>0.03</v>
      </c>
      <c r="H16" s="202"/>
      <c r="I16" s="202"/>
      <c r="J16" s="202"/>
      <c r="K16" s="202"/>
      <c r="L16" s="202"/>
      <c r="M16" s="202"/>
      <c r="N16" s="202"/>
      <c r="O16" s="202"/>
      <c r="P16" s="202">
        <v>0.24</v>
      </c>
      <c r="Q16" s="202"/>
      <c r="R16" s="202"/>
      <c r="S16" s="202"/>
      <c r="T16" s="202"/>
      <c r="U16" s="202">
        <v>0.06</v>
      </c>
      <c r="V16" s="202"/>
      <c r="W16" s="202"/>
      <c r="X16" s="202"/>
      <c r="Y16" s="202"/>
      <c r="Z16" s="202"/>
      <c r="AA16" s="202"/>
      <c r="AB16" s="202"/>
      <c r="AC16" s="202"/>
      <c r="AD16" s="202"/>
      <c r="AE16" s="202"/>
      <c r="AF16" s="202"/>
      <c r="AG16" s="202"/>
      <c r="AH16" s="202"/>
      <c r="AI16" s="202">
        <v>0.32</v>
      </c>
      <c r="AJ16" s="202"/>
      <c r="AK16" s="202"/>
      <c r="AL16" s="202"/>
      <c r="AM16" s="202"/>
      <c r="AN16" s="202"/>
      <c r="AO16" s="202"/>
      <c r="AP16" s="202">
        <v>0.28000000000000003</v>
      </c>
      <c r="AQ16" s="202">
        <v>7.0000000000000007E-2</v>
      </c>
      <c r="AR16" s="37"/>
    </row>
    <row r="17" spans="2:44" ht="15" customHeight="1" x14ac:dyDescent="0.35">
      <c r="B17" s="28" t="s">
        <v>30</v>
      </c>
      <c r="C17" s="187" t="s">
        <v>1516</v>
      </c>
      <c r="D17" s="202">
        <v>0.01</v>
      </c>
      <c r="E17" s="202"/>
      <c r="F17" s="202"/>
      <c r="G17" s="202">
        <v>0.2</v>
      </c>
      <c r="H17" s="202"/>
      <c r="I17" s="202"/>
      <c r="J17" s="202"/>
      <c r="K17" s="202"/>
      <c r="L17" s="202"/>
      <c r="M17" s="202"/>
      <c r="N17" s="202"/>
      <c r="O17" s="202"/>
      <c r="P17" s="202"/>
      <c r="Q17" s="202"/>
      <c r="R17" s="202"/>
      <c r="S17" s="202"/>
      <c r="T17" s="202"/>
      <c r="U17" s="202"/>
      <c r="V17" s="202">
        <v>0.1</v>
      </c>
      <c r="W17" s="202"/>
      <c r="X17" s="202">
        <v>0.01</v>
      </c>
      <c r="Y17" s="202"/>
      <c r="Z17" s="202">
        <v>0.06</v>
      </c>
      <c r="AA17" s="202"/>
      <c r="AB17" s="202"/>
      <c r="AC17" s="202"/>
      <c r="AD17" s="202"/>
      <c r="AE17" s="202"/>
      <c r="AF17" s="202"/>
      <c r="AG17" s="202">
        <v>0.24</v>
      </c>
      <c r="AH17" s="202"/>
      <c r="AI17" s="202"/>
      <c r="AJ17" s="202"/>
      <c r="AK17" s="202"/>
      <c r="AL17" s="202"/>
      <c r="AM17" s="202">
        <v>0.08</v>
      </c>
      <c r="AN17" s="202"/>
      <c r="AO17" s="202"/>
      <c r="AP17" s="202">
        <v>0.3</v>
      </c>
      <c r="AQ17" s="202"/>
      <c r="AR17" s="37"/>
    </row>
    <row r="18" spans="2:44" ht="15" customHeight="1" x14ac:dyDescent="0.35">
      <c r="B18" s="28" t="s">
        <v>30</v>
      </c>
      <c r="C18" s="187" t="s">
        <v>1516</v>
      </c>
      <c r="D18" s="202"/>
      <c r="E18" s="202"/>
      <c r="F18" s="202"/>
      <c r="G18" s="202"/>
      <c r="H18" s="202"/>
      <c r="I18" s="202"/>
      <c r="J18" s="202"/>
      <c r="K18" s="202"/>
      <c r="L18" s="202"/>
      <c r="M18" s="202"/>
      <c r="N18" s="202"/>
      <c r="O18" s="202"/>
      <c r="P18" s="202"/>
      <c r="Q18" s="202"/>
      <c r="R18" s="202"/>
      <c r="S18" s="202"/>
      <c r="T18" s="202"/>
      <c r="U18" s="202">
        <v>0.1</v>
      </c>
      <c r="V18" s="202">
        <v>0.11</v>
      </c>
      <c r="W18" s="202"/>
      <c r="X18" s="202"/>
      <c r="Y18" s="202"/>
      <c r="Z18" s="202"/>
      <c r="AA18" s="202">
        <v>0.1</v>
      </c>
      <c r="AB18" s="202"/>
      <c r="AC18" s="202"/>
      <c r="AD18" s="202"/>
      <c r="AE18" s="202"/>
      <c r="AF18" s="202"/>
      <c r="AG18" s="202">
        <v>0.01</v>
      </c>
      <c r="AH18" s="202"/>
      <c r="AI18" s="202">
        <v>0.36</v>
      </c>
      <c r="AJ18" s="202"/>
      <c r="AK18" s="202">
        <v>0.04</v>
      </c>
      <c r="AL18" s="202"/>
      <c r="AM18" s="202"/>
      <c r="AN18" s="202"/>
      <c r="AO18" s="202"/>
      <c r="AP18" s="202">
        <v>0.28000000000000003</v>
      </c>
      <c r="AQ18" s="202"/>
      <c r="AR18" s="37"/>
    </row>
    <row r="19" spans="2:44" ht="15" customHeight="1" x14ac:dyDescent="0.35">
      <c r="B19" s="28" t="s">
        <v>31</v>
      </c>
      <c r="C19" s="187" t="s">
        <v>1517</v>
      </c>
      <c r="D19" s="202"/>
      <c r="E19" s="202"/>
      <c r="F19" s="202"/>
      <c r="G19" s="202"/>
      <c r="H19" s="202"/>
      <c r="I19" s="202"/>
      <c r="J19" s="202"/>
      <c r="K19" s="202"/>
      <c r="L19" s="202"/>
      <c r="M19" s="202"/>
      <c r="N19" s="202"/>
      <c r="O19" s="202"/>
      <c r="P19" s="202"/>
      <c r="Q19" s="202"/>
      <c r="R19" s="202">
        <v>0.04</v>
      </c>
      <c r="S19" s="202"/>
      <c r="T19" s="202"/>
      <c r="U19" s="202"/>
      <c r="V19" s="202"/>
      <c r="W19" s="202"/>
      <c r="X19" s="202"/>
      <c r="Y19" s="202"/>
      <c r="Z19" s="202">
        <v>0.04</v>
      </c>
      <c r="AA19" s="202"/>
      <c r="AB19" s="202"/>
      <c r="AC19" s="202"/>
      <c r="AD19" s="202"/>
      <c r="AE19" s="202">
        <v>0.04</v>
      </c>
      <c r="AF19" s="202"/>
      <c r="AG19" s="202"/>
      <c r="AH19" s="202"/>
      <c r="AI19" s="202">
        <v>0.66</v>
      </c>
      <c r="AJ19" s="202"/>
      <c r="AK19" s="202">
        <v>0.22</v>
      </c>
      <c r="AL19" s="202"/>
      <c r="AM19" s="202"/>
      <c r="AN19" s="202"/>
      <c r="AO19" s="202"/>
      <c r="AP19" s="202"/>
      <c r="AQ19" s="202"/>
      <c r="AR19" s="37"/>
    </row>
    <row r="20" spans="2:44" ht="15" customHeight="1" x14ac:dyDescent="0.35">
      <c r="B20" s="28" t="s">
        <v>31</v>
      </c>
      <c r="C20" s="187" t="s">
        <v>1517</v>
      </c>
      <c r="D20" s="202"/>
      <c r="E20" s="202"/>
      <c r="F20" s="202">
        <v>0.05</v>
      </c>
      <c r="G20" s="202"/>
      <c r="H20" s="202"/>
      <c r="I20" s="202"/>
      <c r="J20" s="202"/>
      <c r="K20" s="202"/>
      <c r="L20" s="202"/>
      <c r="M20" s="202"/>
      <c r="N20" s="202"/>
      <c r="O20" s="202"/>
      <c r="P20" s="202"/>
      <c r="Q20" s="202"/>
      <c r="R20" s="202"/>
      <c r="S20" s="202"/>
      <c r="T20" s="202">
        <v>0.2</v>
      </c>
      <c r="U20" s="202"/>
      <c r="V20" s="202"/>
      <c r="W20" s="202"/>
      <c r="X20" s="202"/>
      <c r="Y20" s="202"/>
      <c r="Z20" s="202"/>
      <c r="AA20" s="202"/>
      <c r="AB20" s="202"/>
      <c r="AC20" s="202"/>
      <c r="AD20" s="202"/>
      <c r="AE20" s="202"/>
      <c r="AF20" s="202"/>
      <c r="AG20" s="202"/>
      <c r="AH20" s="202"/>
      <c r="AI20" s="202">
        <v>0.42</v>
      </c>
      <c r="AJ20" s="202"/>
      <c r="AK20" s="202">
        <v>0.28000000000000003</v>
      </c>
      <c r="AL20" s="202"/>
      <c r="AM20" s="202"/>
      <c r="AN20" s="202"/>
      <c r="AO20" s="202">
        <v>0.05</v>
      </c>
      <c r="AP20" s="202"/>
      <c r="AQ20" s="202"/>
      <c r="AR20" s="37"/>
    </row>
    <row r="21" spans="2:44" ht="15" customHeight="1" x14ac:dyDescent="0.35">
      <c r="B21" s="28" t="s">
        <v>31</v>
      </c>
      <c r="C21" s="187" t="s">
        <v>1517</v>
      </c>
      <c r="D21" s="202">
        <v>0.06</v>
      </c>
      <c r="E21" s="202">
        <v>0.04</v>
      </c>
      <c r="F21" s="202"/>
      <c r="G21" s="202"/>
      <c r="H21" s="202"/>
      <c r="I21" s="202"/>
      <c r="J21" s="202"/>
      <c r="K21" s="202"/>
      <c r="L21" s="202"/>
      <c r="M21" s="202"/>
      <c r="N21" s="202"/>
      <c r="O21" s="202"/>
      <c r="P21" s="202"/>
      <c r="Q21" s="202"/>
      <c r="R21" s="202"/>
      <c r="S21" s="202">
        <v>0.06</v>
      </c>
      <c r="T21" s="202"/>
      <c r="U21" s="202">
        <v>0.02</v>
      </c>
      <c r="V21" s="202"/>
      <c r="W21" s="202"/>
      <c r="X21" s="202"/>
      <c r="Y21" s="202"/>
      <c r="Z21" s="202"/>
      <c r="AA21" s="202"/>
      <c r="AB21" s="202"/>
      <c r="AC21" s="202"/>
      <c r="AD21" s="202"/>
      <c r="AE21" s="202">
        <v>0.02</v>
      </c>
      <c r="AF21" s="202"/>
      <c r="AG21" s="202"/>
      <c r="AH21" s="202"/>
      <c r="AI21" s="202">
        <v>0.8</v>
      </c>
      <c r="AJ21" s="202"/>
      <c r="AK21" s="202"/>
      <c r="AL21" s="202"/>
      <c r="AM21" s="202"/>
      <c r="AN21" s="202"/>
      <c r="AO21" s="202"/>
      <c r="AP21" s="202"/>
      <c r="AQ21" s="202"/>
      <c r="AR21" s="37"/>
    </row>
    <row r="22" spans="2:44" ht="15" customHeight="1" x14ac:dyDescent="0.35">
      <c r="B22" s="28" t="s">
        <v>31</v>
      </c>
      <c r="C22" s="187" t="s">
        <v>1517</v>
      </c>
      <c r="D22" s="202">
        <v>0.1</v>
      </c>
      <c r="E22" s="202">
        <v>0.1</v>
      </c>
      <c r="F22" s="202">
        <v>0.15</v>
      </c>
      <c r="G22" s="202"/>
      <c r="H22" s="202"/>
      <c r="I22" s="202"/>
      <c r="J22" s="202"/>
      <c r="K22" s="202"/>
      <c r="L22" s="202"/>
      <c r="M22" s="202"/>
      <c r="N22" s="202"/>
      <c r="O22" s="202"/>
      <c r="P22" s="202"/>
      <c r="Q22" s="202">
        <v>0.02</v>
      </c>
      <c r="R22" s="202"/>
      <c r="S22" s="202"/>
      <c r="T22" s="202"/>
      <c r="U22" s="202">
        <v>0.08</v>
      </c>
      <c r="V22" s="202"/>
      <c r="W22" s="202"/>
      <c r="X22" s="202"/>
      <c r="Y22" s="202"/>
      <c r="Z22" s="202"/>
      <c r="AA22" s="202"/>
      <c r="AB22" s="202"/>
      <c r="AC22" s="202"/>
      <c r="AD22" s="202"/>
      <c r="AE22" s="202"/>
      <c r="AF22" s="202"/>
      <c r="AG22" s="202"/>
      <c r="AH22" s="202"/>
      <c r="AI22" s="202">
        <v>0.44</v>
      </c>
      <c r="AJ22" s="202"/>
      <c r="AK22" s="202"/>
      <c r="AL22" s="202"/>
      <c r="AM22" s="202"/>
      <c r="AN22" s="202"/>
      <c r="AO22" s="202">
        <v>0.08</v>
      </c>
      <c r="AP22" s="202">
        <v>0.03</v>
      </c>
      <c r="AQ22" s="202"/>
      <c r="AR22" s="37"/>
    </row>
    <row r="23" spans="2:44" ht="15" customHeight="1" x14ac:dyDescent="0.35">
      <c r="B23" s="28" t="s">
        <v>31</v>
      </c>
      <c r="C23" s="187" t="s">
        <v>1517</v>
      </c>
      <c r="D23" s="202"/>
      <c r="E23" s="202"/>
      <c r="F23" s="202">
        <v>0.06</v>
      </c>
      <c r="G23" s="202">
        <v>0.66</v>
      </c>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v>0.06</v>
      </c>
      <c r="AJ23" s="202"/>
      <c r="AK23" s="202"/>
      <c r="AL23" s="202"/>
      <c r="AM23" s="202"/>
      <c r="AN23" s="202"/>
      <c r="AO23" s="202">
        <v>0.22</v>
      </c>
      <c r="AP23" s="202"/>
      <c r="AQ23" s="202"/>
      <c r="AR23" s="37"/>
    </row>
    <row r="24" spans="2:44" ht="15" customHeight="1" x14ac:dyDescent="0.35">
      <c r="B24" s="28" t="s">
        <v>32</v>
      </c>
      <c r="C24" s="187" t="s">
        <v>1518</v>
      </c>
      <c r="D24" s="202"/>
      <c r="E24" s="202"/>
      <c r="F24" s="202"/>
      <c r="G24" s="202"/>
      <c r="H24" s="202"/>
      <c r="I24" s="202"/>
      <c r="J24" s="202"/>
      <c r="K24" s="202"/>
      <c r="L24" s="202"/>
      <c r="M24" s="202"/>
      <c r="N24" s="202"/>
      <c r="O24" s="202"/>
      <c r="P24" s="202"/>
      <c r="Q24" s="202"/>
      <c r="R24" s="202"/>
      <c r="S24" s="202"/>
      <c r="T24" s="202"/>
      <c r="U24" s="202"/>
      <c r="V24" s="202"/>
      <c r="W24" s="202">
        <v>0.05</v>
      </c>
      <c r="X24" s="202"/>
      <c r="Y24" s="202">
        <v>0.04</v>
      </c>
      <c r="Z24" s="202"/>
      <c r="AA24" s="202"/>
      <c r="AB24" s="202"/>
      <c r="AC24" s="202"/>
      <c r="AD24" s="202">
        <v>0.05</v>
      </c>
      <c r="AE24" s="202"/>
      <c r="AF24" s="202"/>
      <c r="AG24" s="202"/>
      <c r="AH24" s="202"/>
      <c r="AI24" s="202">
        <v>0.68</v>
      </c>
      <c r="AJ24" s="202"/>
      <c r="AK24" s="202">
        <v>0.1</v>
      </c>
      <c r="AL24" s="202"/>
      <c r="AM24" s="202">
        <v>0.04</v>
      </c>
      <c r="AN24" s="202">
        <v>0.04</v>
      </c>
      <c r="AO24" s="202"/>
      <c r="AP24" s="202"/>
      <c r="AQ24" s="202"/>
      <c r="AR24" s="37"/>
    </row>
    <row r="25" spans="2:44" ht="15" customHeight="1" x14ac:dyDescent="0.35">
      <c r="B25" s="28" t="s">
        <v>32</v>
      </c>
      <c r="C25" s="187" t="s">
        <v>1518</v>
      </c>
      <c r="D25" s="202"/>
      <c r="E25" s="202"/>
      <c r="F25" s="202"/>
      <c r="G25" s="202"/>
      <c r="H25" s="202"/>
      <c r="I25" s="202"/>
      <c r="J25" s="202"/>
      <c r="K25" s="202"/>
      <c r="L25" s="202"/>
      <c r="M25" s="202"/>
      <c r="N25" s="202"/>
      <c r="O25" s="202"/>
      <c r="P25" s="202"/>
      <c r="Q25" s="202"/>
      <c r="R25" s="202">
        <v>0.03</v>
      </c>
      <c r="S25" s="202">
        <v>0.03</v>
      </c>
      <c r="T25" s="202"/>
      <c r="U25" s="202"/>
      <c r="V25" s="202"/>
      <c r="W25" s="202">
        <v>0.08</v>
      </c>
      <c r="X25" s="202"/>
      <c r="Y25" s="202"/>
      <c r="Z25" s="202"/>
      <c r="AA25" s="202"/>
      <c r="AB25" s="202"/>
      <c r="AC25" s="202"/>
      <c r="AD25" s="202"/>
      <c r="AE25" s="202"/>
      <c r="AF25" s="202">
        <v>0.14000000000000001</v>
      </c>
      <c r="AG25" s="202"/>
      <c r="AH25" s="202"/>
      <c r="AI25" s="202">
        <v>0.54</v>
      </c>
      <c r="AJ25" s="202">
        <v>0.06</v>
      </c>
      <c r="AK25" s="202">
        <v>0.12</v>
      </c>
      <c r="AL25" s="202"/>
      <c r="AM25" s="202"/>
      <c r="AN25" s="202"/>
      <c r="AO25" s="202"/>
      <c r="AP25" s="202"/>
      <c r="AQ25" s="202"/>
      <c r="AR25" s="37"/>
    </row>
    <row r="26" spans="2:44" ht="15" customHeight="1" x14ac:dyDescent="0.35">
      <c r="B26" s="28" t="s">
        <v>32</v>
      </c>
      <c r="C26" s="187" t="s">
        <v>1518</v>
      </c>
      <c r="D26" s="202"/>
      <c r="E26" s="202"/>
      <c r="F26" s="202"/>
      <c r="G26" s="202"/>
      <c r="H26" s="202"/>
      <c r="I26" s="202"/>
      <c r="J26" s="202"/>
      <c r="K26" s="202"/>
      <c r="L26" s="202"/>
      <c r="M26" s="202"/>
      <c r="N26" s="202"/>
      <c r="O26" s="202"/>
      <c r="P26" s="202"/>
      <c r="Q26" s="202"/>
      <c r="R26" s="202"/>
      <c r="S26" s="202"/>
      <c r="T26" s="202"/>
      <c r="U26" s="202"/>
      <c r="V26" s="202"/>
      <c r="W26" s="202">
        <v>0.14000000000000001</v>
      </c>
      <c r="X26" s="202"/>
      <c r="Y26" s="202">
        <v>0.08</v>
      </c>
      <c r="Z26" s="202"/>
      <c r="AA26" s="202"/>
      <c r="AB26" s="202"/>
      <c r="AC26" s="202"/>
      <c r="AD26" s="202"/>
      <c r="AE26" s="202"/>
      <c r="AF26" s="202"/>
      <c r="AG26" s="202"/>
      <c r="AH26" s="202"/>
      <c r="AI26" s="202">
        <v>0.68</v>
      </c>
      <c r="AJ26" s="202"/>
      <c r="AK26" s="202">
        <v>0.1</v>
      </c>
      <c r="AL26" s="202"/>
      <c r="AM26" s="202"/>
      <c r="AN26" s="202"/>
      <c r="AO26" s="202"/>
      <c r="AP26" s="202"/>
      <c r="AQ26" s="202"/>
      <c r="AR26" s="37"/>
    </row>
    <row r="27" spans="2:44" ht="15" customHeight="1" x14ac:dyDescent="0.35">
      <c r="B27" s="28" t="s">
        <v>32</v>
      </c>
      <c r="C27" s="187" t="s">
        <v>1518</v>
      </c>
      <c r="D27" s="202">
        <v>0.02</v>
      </c>
      <c r="E27" s="202"/>
      <c r="F27" s="202"/>
      <c r="G27" s="202"/>
      <c r="H27" s="202"/>
      <c r="I27" s="202"/>
      <c r="J27" s="202"/>
      <c r="K27" s="202"/>
      <c r="L27" s="202"/>
      <c r="M27" s="202"/>
      <c r="N27" s="202"/>
      <c r="O27" s="202"/>
      <c r="P27" s="202"/>
      <c r="Q27" s="202"/>
      <c r="R27" s="202"/>
      <c r="S27" s="202"/>
      <c r="T27" s="202"/>
      <c r="U27" s="202"/>
      <c r="V27" s="202"/>
      <c r="W27" s="202"/>
      <c r="X27" s="202"/>
      <c r="Y27" s="202"/>
      <c r="Z27" s="202"/>
      <c r="AA27" s="202"/>
      <c r="AB27" s="202"/>
      <c r="AC27" s="202"/>
      <c r="AD27" s="202"/>
      <c r="AE27" s="202">
        <v>0.3</v>
      </c>
      <c r="AF27" s="202">
        <v>0.16</v>
      </c>
      <c r="AG27" s="202"/>
      <c r="AH27" s="202"/>
      <c r="AI27" s="202">
        <v>0.42</v>
      </c>
      <c r="AJ27" s="202"/>
      <c r="AK27" s="202">
        <v>0.06</v>
      </c>
      <c r="AL27" s="202"/>
      <c r="AM27" s="202">
        <v>0.04</v>
      </c>
      <c r="AN27" s="202"/>
      <c r="AO27" s="202"/>
      <c r="AP27" s="202"/>
      <c r="AQ27" s="202"/>
      <c r="AR27" s="37"/>
    </row>
    <row r="28" spans="2:44" ht="15" customHeight="1" thickBot="1" x14ac:dyDescent="0.4">
      <c r="B28" s="29" t="s">
        <v>32</v>
      </c>
      <c r="C28" s="39" t="s">
        <v>1518</v>
      </c>
      <c r="D28" s="203"/>
      <c r="E28" s="203"/>
      <c r="F28" s="203"/>
      <c r="G28" s="203"/>
      <c r="H28" s="203"/>
      <c r="I28" s="203"/>
      <c r="J28" s="203"/>
      <c r="K28" s="203"/>
      <c r="L28" s="203"/>
      <c r="M28" s="203"/>
      <c r="N28" s="203"/>
      <c r="O28" s="203"/>
      <c r="P28" s="203"/>
      <c r="Q28" s="203"/>
      <c r="R28" s="203"/>
      <c r="S28" s="203"/>
      <c r="T28" s="203"/>
      <c r="U28" s="203"/>
      <c r="V28" s="203"/>
      <c r="W28" s="203">
        <v>0.12</v>
      </c>
      <c r="X28" s="203"/>
      <c r="Y28" s="203"/>
      <c r="Z28" s="203"/>
      <c r="AA28" s="203"/>
      <c r="AB28" s="203"/>
      <c r="AC28" s="203"/>
      <c r="AD28" s="203"/>
      <c r="AE28" s="203"/>
      <c r="AF28" s="203">
        <v>0.02</v>
      </c>
      <c r="AG28" s="203"/>
      <c r="AH28" s="203"/>
      <c r="AI28" s="203">
        <v>0.8</v>
      </c>
      <c r="AJ28" s="203"/>
      <c r="AK28" s="203"/>
      <c r="AL28" s="203"/>
      <c r="AM28" s="203">
        <v>0.06</v>
      </c>
      <c r="AN28" s="203"/>
      <c r="AO28" s="203"/>
      <c r="AP28" s="203"/>
      <c r="AQ28" s="203"/>
      <c r="AR28" s="51"/>
    </row>
    <row r="30" spans="2:44" ht="15" customHeight="1" x14ac:dyDescent="0.35">
      <c r="B30" s="129" t="s">
        <v>1875</v>
      </c>
    </row>
    <row r="31" spans="2:44" ht="15" customHeight="1" x14ac:dyDescent="0.35">
      <c r="B31" s="180" t="s">
        <v>2000</v>
      </c>
      <c r="C31" s="180"/>
      <c r="D31" s="180"/>
      <c r="E31" s="180"/>
      <c r="F31" s="180"/>
      <c r="G31" s="180"/>
      <c r="H31" s="180"/>
      <c r="I31" s="180"/>
      <c r="J31" s="180"/>
    </row>
    <row r="32" spans="2:44" ht="15" customHeight="1" x14ac:dyDescent="0.35">
      <c r="B32" s="180"/>
      <c r="C32" s="180"/>
      <c r="D32" s="180"/>
      <c r="E32" s="180"/>
      <c r="F32" s="180"/>
      <c r="G32" s="180"/>
      <c r="H32" s="180"/>
      <c r="I32" s="180"/>
      <c r="J32" s="180"/>
    </row>
    <row r="33" spans="2:10" ht="15" customHeight="1" x14ac:dyDescent="0.35">
      <c r="B33" s="180"/>
      <c r="C33" s="180"/>
      <c r="D33" s="180"/>
      <c r="E33" s="180"/>
      <c r="F33" s="180"/>
      <c r="G33" s="180"/>
      <c r="H33" s="180"/>
      <c r="I33" s="180"/>
      <c r="J33" s="180"/>
    </row>
    <row r="34" spans="2:10" ht="15" customHeight="1" x14ac:dyDescent="0.35">
      <c r="B34" s="180"/>
      <c r="C34" s="180"/>
      <c r="D34" s="180"/>
      <c r="E34" s="180"/>
      <c r="F34" s="180"/>
      <c r="G34" s="180"/>
      <c r="H34" s="180"/>
      <c r="I34" s="180"/>
      <c r="J34" s="180"/>
    </row>
    <row r="35" spans="2:10" ht="15" customHeight="1" x14ac:dyDescent="0.35">
      <c r="B35" s="180"/>
      <c r="C35" s="180"/>
      <c r="D35" s="180"/>
      <c r="E35" s="180"/>
      <c r="F35" s="180"/>
      <c r="G35" s="180"/>
      <c r="H35" s="180"/>
      <c r="I35" s="180"/>
      <c r="J35" s="180"/>
    </row>
    <row r="36" spans="2:10" ht="15" customHeight="1" x14ac:dyDescent="0.35">
      <c r="B36" s="180"/>
      <c r="C36" s="180"/>
      <c r="D36" s="180"/>
      <c r="E36" s="180"/>
      <c r="F36" s="180"/>
      <c r="G36" s="180"/>
      <c r="H36" s="180"/>
      <c r="I36" s="180"/>
      <c r="J36" s="180"/>
    </row>
    <row r="37" spans="2:10" ht="15" customHeight="1" x14ac:dyDescent="0.35">
      <c r="B37" s="180"/>
      <c r="C37" s="180"/>
      <c r="D37" s="180"/>
      <c r="E37" s="180"/>
      <c r="F37" s="180"/>
      <c r="G37" s="180"/>
      <c r="H37" s="180"/>
      <c r="I37" s="180"/>
      <c r="J37" s="180"/>
    </row>
    <row r="38" spans="2:10" ht="15" customHeight="1" x14ac:dyDescent="0.35">
      <c r="B38" s="180"/>
      <c r="C38" s="180"/>
      <c r="D38" s="180"/>
      <c r="E38" s="180"/>
      <c r="F38" s="180"/>
      <c r="G38" s="180"/>
      <c r="H38" s="180"/>
      <c r="I38" s="180"/>
      <c r="J38" s="180"/>
    </row>
    <row r="39" spans="2:10" ht="15" customHeight="1" x14ac:dyDescent="0.35">
      <c r="B39" s="180"/>
      <c r="C39" s="180"/>
      <c r="D39" s="180"/>
      <c r="E39" s="180"/>
      <c r="F39" s="180"/>
      <c r="G39" s="180"/>
      <c r="H39" s="180"/>
      <c r="I39" s="180"/>
      <c r="J39" s="180"/>
    </row>
    <row r="40" spans="2:10" ht="15" customHeight="1" x14ac:dyDescent="0.35">
      <c r="B40" s="180"/>
      <c r="C40" s="180"/>
      <c r="D40" s="180"/>
      <c r="E40" s="180"/>
      <c r="F40" s="180"/>
      <c r="G40" s="180"/>
      <c r="H40" s="180"/>
      <c r="I40" s="180"/>
      <c r="J40" s="180"/>
    </row>
    <row r="41" spans="2:10" ht="15" customHeight="1" x14ac:dyDescent="0.35">
      <c r="B41" s="180"/>
      <c r="C41" s="180"/>
      <c r="D41" s="180"/>
      <c r="E41" s="180"/>
      <c r="F41" s="180"/>
      <c r="G41" s="180"/>
      <c r="H41" s="180"/>
      <c r="I41" s="180"/>
      <c r="J41" s="180"/>
    </row>
  </sheetData>
  <mergeCells count="2">
    <mergeCell ref="B2:AR2"/>
    <mergeCell ref="B31:J4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FB61A-7438-4A7E-BF64-528C3E454668}">
  <dimension ref="B2:Q326"/>
  <sheetViews>
    <sheetView tabSelected="1" zoomScale="78" zoomScaleNormal="78" workbookViewId="0">
      <pane xSplit="1" ySplit="3" topLeftCell="B4" activePane="bottomRight" state="frozen"/>
      <selection pane="topRight" activeCell="B1" sqref="B1"/>
      <selection pane="bottomLeft" activeCell="A4" sqref="A4"/>
      <selection pane="bottomRight" activeCell="R23" sqref="R23"/>
    </sheetView>
  </sheetViews>
  <sheetFormatPr defaultRowHeight="14.15" x14ac:dyDescent="0.35"/>
  <cols>
    <col min="1" max="1" width="4.640625" customWidth="1"/>
    <col min="2" max="2" width="7.78515625" style="134" customWidth="1"/>
    <col min="3" max="4" width="10.640625" customWidth="1"/>
    <col min="5" max="6" width="12.28515625" customWidth="1"/>
    <col min="7" max="7" width="16.42578125" customWidth="1"/>
    <col min="8" max="8" width="10.0703125" customWidth="1"/>
    <col min="9" max="17" width="9.640625" customWidth="1"/>
  </cols>
  <sheetData>
    <row r="2" spans="2:17" ht="25" customHeight="1" thickBot="1" x14ac:dyDescent="0.4">
      <c r="B2" s="167" t="s">
        <v>2003</v>
      </c>
      <c r="C2" s="167"/>
      <c r="D2" s="167"/>
      <c r="E2" s="167"/>
      <c r="F2" s="167"/>
      <c r="G2" s="167"/>
      <c r="H2" s="167"/>
      <c r="I2" s="167"/>
      <c r="J2" s="167"/>
      <c r="K2" s="167"/>
      <c r="L2" s="167"/>
      <c r="M2" s="167"/>
      <c r="N2" s="167"/>
      <c r="O2" s="167"/>
      <c r="P2" s="167"/>
      <c r="Q2" s="167"/>
    </row>
    <row r="3" spans="2:17" s="133" customFormat="1" ht="20.05" customHeight="1" thickBot="1" x14ac:dyDescent="0.4">
      <c r="B3" s="137"/>
      <c r="C3" s="82" t="s">
        <v>1935</v>
      </c>
      <c r="D3" s="82" t="s">
        <v>1936</v>
      </c>
      <c r="E3" s="82" t="s">
        <v>1937</v>
      </c>
      <c r="F3" s="82" t="s">
        <v>1938</v>
      </c>
      <c r="G3" s="82" t="s">
        <v>1939</v>
      </c>
      <c r="H3" s="82" t="s">
        <v>1940</v>
      </c>
      <c r="I3" s="150" t="s">
        <v>1878</v>
      </c>
      <c r="J3" s="150" t="s">
        <v>1879</v>
      </c>
      <c r="K3" s="150" t="s">
        <v>1880</v>
      </c>
      <c r="L3" s="151" t="s">
        <v>1881</v>
      </c>
      <c r="M3" s="151" t="s">
        <v>1882</v>
      </c>
      <c r="N3" s="151" t="s">
        <v>1883</v>
      </c>
      <c r="O3" s="152" t="s">
        <v>1884</v>
      </c>
      <c r="P3" s="152" t="s">
        <v>1885</v>
      </c>
      <c r="Q3" s="153" t="s">
        <v>1886</v>
      </c>
    </row>
    <row r="4" spans="2:17" ht="15" customHeight="1" x14ac:dyDescent="0.35">
      <c r="B4" s="138">
        <v>1</v>
      </c>
      <c r="C4" s="32" t="s">
        <v>1930</v>
      </c>
      <c r="D4" s="32" t="s">
        <v>1888</v>
      </c>
      <c r="E4" s="32" t="s">
        <v>1889</v>
      </c>
      <c r="F4" s="32" t="s">
        <v>28</v>
      </c>
      <c r="G4" s="32" t="s">
        <v>1891</v>
      </c>
      <c r="H4" s="32" t="s">
        <v>1890</v>
      </c>
      <c r="I4" s="142">
        <v>0.54545454545454497</v>
      </c>
      <c r="J4" s="142">
        <v>0.36363636363636398</v>
      </c>
      <c r="K4" s="142">
        <v>0.18181818181818199</v>
      </c>
      <c r="L4" s="142">
        <v>0.447344307946621</v>
      </c>
      <c r="M4" s="142">
        <v>0.39128914070370902</v>
      </c>
      <c r="N4" s="142">
        <v>5.6055167242912103E-2</v>
      </c>
      <c r="O4" s="142">
        <v>0.29255319148936199</v>
      </c>
      <c r="P4" s="142">
        <v>0.170212765957447</v>
      </c>
      <c r="Q4" s="143">
        <v>0.122340425531915</v>
      </c>
    </row>
    <row r="5" spans="2:17" ht="15" customHeight="1" x14ac:dyDescent="0.35">
      <c r="B5" s="139">
        <v>2</v>
      </c>
      <c r="C5" s="1" t="s">
        <v>1887</v>
      </c>
      <c r="D5" s="1" t="s">
        <v>1892</v>
      </c>
      <c r="E5" s="1" t="s">
        <v>1889</v>
      </c>
      <c r="F5" s="1" t="s">
        <v>1889</v>
      </c>
      <c r="G5" s="1" t="s">
        <v>1891</v>
      </c>
      <c r="H5" s="1" t="s">
        <v>1890</v>
      </c>
      <c r="I5" s="144">
        <v>0.22222222222222199</v>
      </c>
      <c r="J5" s="144">
        <v>0</v>
      </c>
      <c r="K5" s="144">
        <v>0.22222222222222199</v>
      </c>
      <c r="L5" s="144">
        <v>0.15142470620141399</v>
      </c>
      <c r="M5" s="144">
        <v>0</v>
      </c>
      <c r="N5" s="144">
        <v>0.15142470620141399</v>
      </c>
      <c r="O5" s="144">
        <v>5.0955414012738898E-2</v>
      </c>
      <c r="P5" s="144">
        <v>0</v>
      </c>
      <c r="Q5" s="145">
        <v>5.0955414012738898E-2</v>
      </c>
    </row>
    <row r="6" spans="2:17" ht="15" customHeight="1" x14ac:dyDescent="0.35">
      <c r="B6" s="139">
        <v>3</v>
      </c>
      <c r="C6" s="1" t="s">
        <v>1887</v>
      </c>
      <c r="D6" s="1" t="s">
        <v>1893</v>
      </c>
      <c r="E6" s="1" t="s">
        <v>1889</v>
      </c>
      <c r="F6" s="1" t="s">
        <v>1889</v>
      </c>
      <c r="G6" s="1" t="s">
        <v>1891</v>
      </c>
      <c r="H6" s="1" t="s">
        <v>1890</v>
      </c>
      <c r="I6" s="144">
        <v>0.66666666666666696</v>
      </c>
      <c r="J6" s="144">
        <v>0.5</v>
      </c>
      <c r="K6" s="144">
        <v>0.16666666666666699</v>
      </c>
      <c r="L6" s="144">
        <v>0.57953097095791894</v>
      </c>
      <c r="M6" s="144">
        <v>0.53737121255449904</v>
      </c>
      <c r="N6" s="144">
        <v>4.2159758403420303E-2</v>
      </c>
      <c r="O6" s="144">
        <v>0.36499999999999999</v>
      </c>
      <c r="P6" s="144">
        <v>0.22</v>
      </c>
      <c r="Q6" s="145">
        <v>0.14499999999999999</v>
      </c>
    </row>
    <row r="7" spans="2:17" ht="15" customHeight="1" x14ac:dyDescent="0.35">
      <c r="B7" s="139">
        <v>4</v>
      </c>
      <c r="C7" s="1" t="s">
        <v>1887</v>
      </c>
      <c r="D7" s="1" t="s">
        <v>1894</v>
      </c>
      <c r="E7" s="1" t="s">
        <v>1889</v>
      </c>
      <c r="F7" s="1" t="s">
        <v>1889</v>
      </c>
      <c r="G7" s="1" t="s">
        <v>1891</v>
      </c>
      <c r="H7" s="1" t="s">
        <v>1890</v>
      </c>
      <c r="I7" s="144">
        <v>0.71428571428571397</v>
      </c>
      <c r="J7" s="144">
        <v>0.42857142857142899</v>
      </c>
      <c r="K7" s="144">
        <v>0.28571428571428598</v>
      </c>
      <c r="L7" s="144">
        <v>0.591035534319998</v>
      </c>
      <c r="M7" s="144">
        <v>0.42364022823667402</v>
      </c>
      <c r="N7" s="144">
        <v>0.16739530608332401</v>
      </c>
      <c r="O7" s="144">
        <v>0.37745098039215702</v>
      </c>
      <c r="P7" s="144">
        <v>0.21568627450980399</v>
      </c>
      <c r="Q7" s="145">
        <v>0.161764705882353</v>
      </c>
    </row>
    <row r="8" spans="2:17" ht="15" customHeight="1" x14ac:dyDescent="0.35">
      <c r="B8" s="139">
        <v>5</v>
      </c>
      <c r="C8" s="1" t="s">
        <v>1888</v>
      </c>
      <c r="D8" s="1" t="s">
        <v>1892</v>
      </c>
      <c r="E8" s="1" t="s">
        <v>1889</v>
      </c>
      <c r="F8" s="1" t="s">
        <v>1889</v>
      </c>
      <c r="G8" s="1" t="s">
        <v>1891</v>
      </c>
      <c r="H8" s="1" t="s">
        <v>1890</v>
      </c>
      <c r="I8" s="144">
        <v>0.5</v>
      </c>
      <c r="J8" s="144">
        <v>0.5</v>
      </c>
      <c r="K8" s="144">
        <v>0</v>
      </c>
      <c r="L8" s="144">
        <v>0.45906426888579399</v>
      </c>
      <c r="M8" s="144">
        <v>0.388262293897844</v>
      </c>
      <c r="N8" s="144">
        <v>7.0801974987950295E-2</v>
      </c>
      <c r="O8" s="144">
        <v>0.31282051282051299</v>
      </c>
      <c r="P8" s="144">
        <v>0.235897435897436</v>
      </c>
      <c r="Q8" s="145">
        <v>7.69230769230769E-2</v>
      </c>
    </row>
    <row r="9" spans="2:17" ht="15" customHeight="1" x14ac:dyDescent="0.35">
      <c r="B9" s="139">
        <v>6</v>
      </c>
      <c r="C9" s="1" t="s">
        <v>1888</v>
      </c>
      <c r="D9" s="1" t="s">
        <v>1893</v>
      </c>
      <c r="E9" s="1" t="s">
        <v>1889</v>
      </c>
      <c r="F9" s="1" t="s">
        <v>1889</v>
      </c>
      <c r="G9" s="1" t="s">
        <v>1891</v>
      </c>
      <c r="H9" s="1" t="s">
        <v>1890</v>
      </c>
      <c r="I9" s="144">
        <v>0.5</v>
      </c>
      <c r="J9" s="144">
        <v>0.5</v>
      </c>
      <c r="K9" s="144">
        <v>0</v>
      </c>
      <c r="L9" s="144">
        <v>0.46926745486628901</v>
      </c>
      <c r="M9" s="144">
        <v>0.45942562602714598</v>
      </c>
      <c r="N9" s="144">
        <v>9.84182883914346E-3</v>
      </c>
      <c r="O9" s="144">
        <v>0.22335025380710699</v>
      </c>
      <c r="P9" s="144">
        <v>0.19289340101522801</v>
      </c>
      <c r="Q9" s="145">
        <v>3.0456852791878201E-2</v>
      </c>
    </row>
    <row r="10" spans="2:17" ht="15" customHeight="1" x14ac:dyDescent="0.35">
      <c r="B10" s="139">
        <v>7</v>
      </c>
      <c r="C10" s="1" t="s">
        <v>1888</v>
      </c>
      <c r="D10" s="1" t="s">
        <v>1894</v>
      </c>
      <c r="E10" s="1" t="s">
        <v>1889</v>
      </c>
      <c r="F10" s="1" t="s">
        <v>1889</v>
      </c>
      <c r="G10" s="1" t="s">
        <v>1891</v>
      </c>
      <c r="H10" s="1" t="s">
        <v>1890</v>
      </c>
      <c r="I10" s="144">
        <v>0.57142857142857095</v>
      </c>
      <c r="J10" s="144">
        <v>0.42857142857142899</v>
      </c>
      <c r="K10" s="144">
        <v>0.14285714285714299</v>
      </c>
      <c r="L10" s="144">
        <v>0.49251325554480202</v>
      </c>
      <c r="M10" s="144">
        <v>0.36730015058145199</v>
      </c>
      <c r="N10" s="144">
        <v>0.125213104963349</v>
      </c>
      <c r="O10" s="144">
        <v>0.238805970149254</v>
      </c>
      <c r="P10" s="144">
        <v>0.18905472636815901</v>
      </c>
      <c r="Q10" s="145">
        <v>4.9751243781094599E-2</v>
      </c>
    </row>
    <row r="11" spans="2:17" ht="15" customHeight="1" x14ac:dyDescent="0.35">
      <c r="B11" s="139">
        <v>8</v>
      </c>
      <c r="C11" s="1" t="s">
        <v>1892</v>
      </c>
      <c r="D11" s="1" t="s">
        <v>1893</v>
      </c>
      <c r="E11" s="1" t="s">
        <v>1889</v>
      </c>
      <c r="F11" s="1" t="s">
        <v>1889</v>
      </c>
      <c r="G11" s="1" t="s">
        <v>1891</v>
      </c>
      <c r="H11" s="1" t="s">
        <v>1890</v>
      </c>
      <c r="I11" s="144">
        <v>0.5</v>
      </c>
      <c r="J11" s="144">
        <v>0.5</v>
      </c>
      <c r="K11" s="144">
        <v>0</v>
      </c>
      <c r="L11" s="144">
        <v>0.456554213393561</v>
      </c>
      <c r="M11" s="144">
        <v>0.37573721423262402</v>
      </c>
      <c r="N11" s="144">
        <v>8.0816999160937597E-2</v>
      </c>
      <c r="O11" s="144">
        <v>0.32500000000000001</v>
      </c>
      <c r="P11" s="144">
        <v>0.22</v>
      </c>
      <c r="Q11" s="145">
        <v>0.105</v>
      </c>
    </row>
    <row r="12" spans="2:17" ht="15" customHeight="1" x14ac:dyDescent="0.35">
      <c r="B12" s="139">
        <v>9</v>
      </c>
      <c r="C12" s="1" t="s">
        <v>1892</v>
      </c>
      <c r="D12" s="1" t="s">
        <v>1894</v>
      </c>
      <c r="E12" s="1" t="s">
        <v>1889</v>
      </c>
      <c r="F12" s="1" t="s">
        <v>1889</v>
      </c>
      <c r="G12" s="1" t="s">
        <v>1891</v>
      </c>
      <c r="H12" s="1" t="s">
        <v>1890</v>
      </c>
      <c r="I12" s="144">
        <v>0.57142857142857095</v>
      </c>
      <c r="J12" s="144">
        <v>0.42857142857142899</v>
      </c>
      <c r="K12" s="144">
        <v>0.14285714285714299</v>
      </c>
      <c r="L12" s="144">
        <v>0.48025912673742699</v>
      </c>
      <c r="M12" s="144">
        <v>0.42364022823667402</v>
      </c>
      <c r="N12" s="144">
        <v>5.6618898500752801E-2</v>
      </c>
      <c r="O12" s="144">
        <v>0.33823529411764702</v>
      </c>
      <c r="P12" s="144">
        <v>0.21568627450980399</v>
      </c>
      <c r="Q12" s="145">
        <v>0.12254901960784299</v>
      </c>
    </row>
    <row r="13" spans="2:17" ht="15" customHeight="1" x14ac:dyDescent="0.35">
      <c r="B13" s="139">
        <v>10</v>
      </c>
      <c r="C13" s="1" t="s">
        <v>1893</v>
      </c>
      <c r="D13" s="1" t="s">
        <v>1894</v>
      </c>
      <c r="E13" s="1" t="s">
        <v>1889</v>
      </c>
      <c r="F13" s="1" t="s">
        <v>1889</v>
      </c>
      <c r="G13" s="1" t="s">
        <v>1891</v>
      </c>
      <c r="H13" s="1" t="s">
        <v>1890</v>
      </c>
      <c r="I13" s="144">
        <v>0.33333333333333298</v>
      </c>
      <c r="J13" s="144">
        <v>0.16666666666666699</v>
      </c>
      <c r="K13" s="144">
        <v>0.16666666666666699</v>
      </c>
      <c r="L13" s="144">
        <v>0.30343237008826301</v>
      </c>
      <c r="M13" s="144">
        <v>0.15168702336459899</v>
      </c>
      <c r="N13" s="144">
        <v>0.15174534672366399</v>
      </c>
      <c r="O13" s="144">
        <v>0.14432989690721601</v>
      </c>
      <c r="P13" s="144">
        <v>0.123711340206186</v>
      </c>
      <c r="Q13" s="145">
        <v>2.0618556701031E-2</v>
      </c>
    </row>
    <row r="14" spans="2:17" ht="15" customHeight="1" x14ac:dyDescent="0.35">
      <c r="B14" s="139">
        <v>11</v>
      </c>
      <c r="C14" s="135" t="s">
        <v>1895</v>
      </c>
      <c r="D14" s="135" t="s">
        <v>1898</v>
      </c>
      <c r="E14" s="135" t="s">
        <v>1896</v>
      </c>
      <c r="F14" s="135" t="s">
        <v>29</v>
      </c>
      <c r="G14" s="135" t="s">
        <v>1899</v>
      </c>
      <c r="H14" s="135" t="s">
        <v>1890</v>
      </c>
      <c r="I14" s="146">
        <v>0.27272727272727298</v>
      </c>
      <c r="J14" s="146">
        <v>0.27272727272727298</v>
      </c>
      <c r="K14" s="146">
        <v>0</v>
      </c>
      <c r="L14" s="146">
        <v>0.27478693266002102</v>
      </c>
      <c r="M14" s="146">
        <v>0.22621370886725201</v>
      </c>
      <c r="N14" s="146">
        <v>4.85732237927693E-2</v>
      </c>
      <c r="O14" s="146">
        <v>7.4349442379182007E-2</v>
      </c>
      <c r="P14" s="146">
        <v>5.2044609665427399E-2</v>
      </c>
      <c r="Q14" s="147">
        <v>2.2304832713754601E-2</v>
      </c>
    </row>
    <row r="15" spans="2:17" ht="15" customHeight="1" x14ac:dyDescent="0.35">
      <c r="B15" s="139">
        <v>12</v>
      </c>
      <c r="C15" s="135" t="s">
        <v>1895</v>
      </c>
      <c r="D15" s="135" t="s">
        <v>1900</v>
      </c>
      <c r="E15" s="135" t="s">
        <v>1896</v>
      </c>
      <c r="F15" s="135" t="s">
        <v>1896</v>
      </c>
      <c r="G15" s="135" t="s">
        <v>1899</v>
      </c>
      <c r="H15" s="135" t="s">
        <v>1890</v>
      </c>
      <c r="I15" s="146">
        <v>0.5</v>
      </c>
      <c r="J15" s="146">
        <v>0.46153846153846201</v>
      </c>
      <c r="K15" s="146">
        <v>3.8461538461538498E-2</v>
      </c>
      <c r="L15" s="146">
        <v>0.448371547827005</v>
      </c>
      <c r="M15" s="146">
        <v>0.40101267196760398</v>
      </c>
      <c r="N15" s="146">
        <v>4.7358875859400899E-2</v>
      </c>
      <c r="O15" s="146">
        <v>0.16608996539792401</v>
      </c>
      <c r="P15" s="146">
        <v>0.103806228373702</v>
      </c>
      <c r="Q15" s="147">
        <v>6.2283737024221401E-2</v>
      </c>
    </row>
    <row r="16" spans="2:17" ht="15" customHeight="1" x14ac:dyDescent="0.35">
      <c r="B16" s="139">
        <v>13</v>
      </c>
      <c r="C16" s="135" t="s">
        <v>1895</v>
      </c>
      <c r="D16" s="135" t="s">
        <v>1901</v>
      </c>
      <c r="E16" s="135" t="s">
        <v>1896</v>
      </c>
      <c r="F16" s="135" t="s">
        <v>1896</v>
      </c>
      <c r="G16" s="135" t="s">
        <v>1899</v>
      </c>
      <c r="H16" s="135" t="s">
        <v>1890</v>
      </c>
      <c r="I16" s="146">
        <v>0.5</v>
      </c>
      <c r="J16" s="146">
        <v>0.41666666666666702</v>
      </c>
      <c r="K16" s="146">
        <v>8.3333333333333301E-2</v>
      </c>
      <c r="L16" s="146">
        <v>0.38276422275058702</v>
      </c>
      <c r="M16" s="146">
        <v>0.35567385743887597</v>
      </c>
      <c r="N16" s="146">
        <v>2.7090365311711599E-2</v>
      </c>
      <c r="O16" s="146">
        <v>0.28996282527881001</v>
      </c>
      <c r="P16" s="146">
        <v>9.6654275092936698E-2</v>
      </c>
      <c r="Q16" s="147">
        <v>0.19330855018587401</v>
      </c>
    </row>
    <row r="17" spans="2:17" ht="15" customHeight="1" x14ac:dyDescent="0.35">
      <c r="B17" s="139">
        <v>14</v>
      </c>
      <c r="C17" s="135" t="s">
        <v>1895</v>
      </c>
      <c r="D17" s="135" t="s">
        <v>1902</v>
      </c>
      <c r="E17" s="135" t="s">
        <v>1896</v>
      </c>
      <c r="F17" s="135" t="s">
        <v>1896</v>
      </c>
      <c r="G17" s="135" t="s">
        <v>1899</v>
      </c>
      <c r="H17" s="135" t="s">
        <v>1890</v>
      </c>
      <c r="I17" s="146">
        <v>0.45833333333333298</v>
      </c>
      <c r="J17" s="146">
        <v>0.41666666666666702</v>
      </c>
      <c r="K17" s="146">
        <v>4.1666666666666699E-2</v>
      </c>
      <c r="L17" s="146">
        <v>0.36308492784639201</v>
      </c>
      <c r="M17" s="146">
        <v>0.32152777323082798</v>
      </c>
      <c r="N17" s="146">
        <v>4.1557154615564397E-2</v>
      </c>
      <c r="O17" s="146">
        <v>0.216911764705882</v>
      </c>
      <c r="P17" s="146">
        <v>0.11764705882352899</v>
      </c>
      <c r="Q17" s="147">
        <v>9.9264705882352894E-2</v>
      </c>
    </row>
    <row r="18" spans="2:17" ht="15" customHeight="1" x14ac:dyDescent="0.35">
      <c r="B18" s="139">
        <v>15</v>
      </c>
      <c r="C18" s="135" t="s">
        <v>1898</v>
      </c>
      <c r="D18" s="135" t="s">
        <v>1900</v>
      </c>
      <c r="E18" s="135" t="s">
        <v>1896</v>
      </c>
      <c r="F18" s="135" t="s">
        <v>1896</v>
      </c>
      <c r="G18" s="135" t="s">
        <v>1899</v>
      </c>
      <c r="H18" s="135" t="s">
        <v>1890</v>
      </c>
      <c r="I18" s="146">
        <v>0.30434782608695699</v>
      </c>
      <c r="J18" s="146">
        <v>0.26086956521739102</v>
      </c>
      <c r="K18" s="146">
        <v>4.3478260869565202E-2</v>
      </c>
      <c r="L18" s="146">
        <v>0.24955422987923201</v>
      </c>
      <c r="M18" s="146">
        <v>0.146931582557594</v>
      </c>
      <c r="N18" s="146">
        <v>0.10262264732163801</v>
      </c>
      <c r="O18" s="146">
        <v>9.9290780141844004E-2</v>
      </c>
      <c r="P18" s="146">
        <v>5.67375886524824E-2</v>
      </c>
      <c r="Q18" s="147">
        <v>4.2553191489361701E-2</v>
      </c>
    </row>
    <row r="19" spans="2:17" ht="15" customHeight="1" x14ac:dyDescent="0.35">
      <c r="B19" s="139">
        <v>16</v>
      </c>
      <c r="C19" s="135" t="s">
        <v>1898</v>
      </c>
      <c r="D19" s="135" t="s">
        <v>1901</v>
      </c>
      <c r="E19" s="135" t="s">
        <v>1896</v>
      </c>
      <c r="F19" s="135" t="s">
        <v>1896</v>
      </c>
      <c r="G19" s="135" t="s">
        <v>1899</v>
      </c>
      <c r="H19" s="135" t="s">
        <v>1890</v>
      </c>
      <c r="I19" s="146">
        <v>0.5</v>
      </c>
      <c r="J19" s="146">
        <v>0.41666666666666702</v>
      </c>
      <c r="K19" s="146">
        <v>8.3333333333333301E-2</v>
      </c>
      <c r="L19" s="146">
        <v>0.44821400063261801</v>
      </c>
      <c r="M19" s="146">
        <v>0.43050926498051201</v>
      </c>
      <c r="N19" s="146">
        <v>1.7704735652106299E-2</v>
      </c>
      <c r="O19" s="146">
        <v>0.329749103942652</v>
      </c>
      <c r="P19" s="146">
        <v>0.121863799283154</v>
      </c>
      <c r="Q19" s="147">
        <v>0.207885304659498</v>
      </c>
    </row>
    <row r="20" spans="2:17" ht="15" customHeight="1" x14ac:dyDescent="0.35">
      <c r="B20" s="139">
        <v>17</v>
      </c>
      <c r="C20" s="135" t="s">
        <v>1898</v>
      </c>
      <c r="D20" s="135" t="s">
        <v>1902</v>
      </c>
      <c r="E20" s="135" t="s">
        <v>1896</v>
      </c>
      <c r="F20" s="135" t="s">
        <v>1896</v>
      </c>
      <c r="G20" s="135" t="s">
        <v>1899</v>
      </c>
      <c r="H20" s="135" t="s">
        <v>1890</v>
      </c>
      <c r="I20" s="146">
        <v>0.52</v>
      </c>
      <c r="J20" s="146">
        <v>0.48</v>
      </c>
      <c r="K20" s="146">
        <v>0.04</v>
      </c>
      <c r="L20" s="146">
        <v>0.41231009568447602</v>
      </c>
      <c r="M20" s="146">
        <v>0.40791313318116401</v>
      </c>
      <c r="N20" s="146">
        <v>4.39696250331237E-3</v>
      </c>
      <c r="O20" s="146">
        <v>0.24014336917562701</v>
      </c>
      <c r="P20" s="146">
        <v>0.121863799283154</v>
      </c>
      <c r="Q20" s="147">
        <v>0.118279569892473</v>
      </c>
    </row>
    <row r="21" spans="2:17" ht="15" customHeight="1" x14ac:dyDescent="0.35">
      <c r="B21" s="139">
        <v>18</v>
      </c>
      <c r="C21" s="135" t="s">
        <v>1900</v>
      </c>
      <c r="D21" s="135" t="s">
        <v>1901</v>
      </c>
      <c r="E21" s="135" t="s">
        <v>1896</v>
      </c>
      <c r="F21" s="135" t="s">
        <v>1896</v>
      </c>
      <c r="G21" s="135" t="s">
        <v>1899</v>
      </c>
      <c r="H21" s="135" t="s">
        <v>1890</v>
      </c>
      <c r="I21" s="146">
        <v>0.45833333333333298</v>
      </c>
      <c r="J21" s="146">
        <v>0.33333333333333298</v>
      </c>
      <c r="K21" s="146">
        <v>0.125</v>
      </c>
      <c r="L21" s="146">
        <v>0.44546405299834801</v>
      </c>
      <c r="M21" s="146">
        <v>0.37201390915881999</v>
      </c>
      <c r="N21" s="146">
        <v>7.3450143839527707E-2</v>
      </c>
      <c r="O21" s="146">
        <v>0.34602076124567499</v>
      </c>
      <c r="P21" s="146">
        <v>0.103806228373702</v>
      </c>
      <c r="Q21" s="147">
        <v>0.242214532871972</v>
      </c>
    </row>
    <row r="22" spans="2:17" ht="15" customHeight="1" x14ac:dyDescent="0.35">
      <c r="B22" s="139">
        <v>19</v>
      </c>
      <c r="C22" s="135" t="s">
        <v>1900</v>
      </c>
      <c r="D22" s="135" t="s">
        <v>1902</v>
      </c>
      <c r="E22" s="135" t="s">
        <v>1896</v>
      </c>
      <c r="F22" s="135" t="s">
        <v>1896</v>
      </c>
      <c r="G22" s="135" t="s">
        <v>1899</v>
      </c>
      <c r="H22" s="135" t="s">
        <v>1890</v>
      </c>
      <c r="I22" s="146">
        <v>0.53846153846153799</v>
      </c>
      <c r="J22" s="146">
        <v>0.46153846153846201</v>
      </c>
      <c r="K22" s="146">
        <v>7.69230769230769E-2</v>
      </c>
      <c r="L22" s="146">
        <v>0.47063967437065501</v>
      </c>
      <c r="M22" s="146">
        <v>0.38520006233078702</v>
      </c>
      <c r="N22" s="146">
        <v>8.5439612039868204E-2</v>
      </c>
      <c r="O22" s="146">
        <v>0.26551724137930999</v>
      </c>
      <c r="P22" s="146">
        <v>0.11034482758620701</v>
      </c>
      <c r="Q22" s="147">
        <v>0.15517241379310301</v>
      </c>
    </row>
    <row r="23" spans="2:17" ht="15" customHeight="1" x14ac:dyDescent="0.35">
      <c r="B23" s="139">
        <v>20</v>
      </c>
      <c r="C23" s="135" t="s">
        <v>1901</v>
      </c>
      <c r="D23" s="135" t="s">
        <v>1902</v>
      </c>
      <c r="E23" s="135" t="s">
        <v>1896</v>
      </c>
      <c r="F23" s="135" t="s">
        <v>1896</v>
      </c>
      <c r="G23" s="135" t="s">
        <v>1899</v>
      </c>
      <c r="H23" s="135" t="s">
        <v>1890</v>
      </c>
      <c r="I23" s="146">
        <v>0.6</v>
      </c>
      <c r="J23" s="146">
        <v>0.56000000000000005</v>
      </c>
      <c r="K23" s="146">
        <v>0.04</v>
      </c>
      <c r="L23" s="146">
        <v>0.56862261347652698</v>
      </c>
      <c r="M23" s="146">
        <v>0.55625532990058302</v>
      </c>
      <c r="N23" s="146">
        <v>1.2367283575944601E-2</v>
      </c>
      <c r="O23" s="146">
        <v>0.43682310469314101</v>
      </c>
      <c r="P23" s="146">
        <v>0.34657039711191301</v>
      </c>
      <c r="Q23" s="147">
        <v>9.0252707581227498E-2</v>
      </c>
    </row>
    <row r="24" spans="2:17" ht="15" customHeight="1" x14ac:dyDescent="0.35">
      <c r="B24" s="139">
        <v>21</v>
      </c>
      <c r="C24" s="1" t="s">
        <v>1903</v>
      </c>
      <c r="D24" s="1" t="s">
        <v>1906</v>
      </c>
      <c r="E24" s="1" t="s">
        <v>1904</v>
      </c>
      <c r="F24" s="1" t="s">
        <v>30</v>
      </c>
      <c r="G24" s="1" t="s">
        <v>1907</v>
      </c>
      <c r="H24" s="1" t="s">
        <v>1890</v>
      </c>
      <c r="I24" s="144">
        <v>0.47368421052631599</v>
      </c>
      <c r="J24" s="144">
        <v>0.31578947368421101</v>
      </c>
      <c r="K24" s="144">
        <v>0.157894736842105</v>
      </c>
      <c r="L24" s="144">
        <v>0.37330556182742802</v>
      </c>
      <c r="M24" s="144">
        <v>0.23524745738805999</v>
      </c>
      <c r="N24" s="144">
        <v>0.138058104439368</v>
      </c>
      <c r="O24" s="144">
        <v>0.265625</v>
      </c>
      <c r="P24" s="144">
        <v>4.6875E-2</v>
      </c>
      <c r="Q24" s="145">
        <v>0.21875</v>
      </c>
    </row>
    <row r="25" spans="2:17" ht="15" customHeight="1" x14ac:dyDescent="0.35">
      <c r="B25" s="139">
        <v>22</v>
      </c>
      <c r="C25" s="1" t="s">
        <v>1903</v>
      </c>
      <c r="D25" s="1" t="s">
        <v>1908</v>
      </c>
      <c r="E25" s="1" t="s">
        <v>1904</v>
      </c>
      <c r="F25" s="1" t="s">
        <v>1904</v>
      </c>
      <c r="G25" s="1" t="s">
        <v>1907</v>
      </c>
      <c r="H25" s="1" t="s">
        <v>1890</v>
      </c>
      <c r="I25" s="144">
        <v>0.33333333333333298</v>
      </c>
      <c r="J25" s="144">
        <v>0.266666666666667</v>
      </c>
      <c r="K25" s="144">
        <v>6.6666666666666693E-2</v>
      </c>
      <c r="L25" s="144">
        <v>0.19901138788220299</v>
      </c>
      <c r="M25" s="144">
        <v>0.12945328697887701</v>
      </c>
      <c r="N25" s="144">
        <v>6.9558100903325704E-2</v>
      </c>
      <c r="O25" s="144">
        <v>0.121359223300971</v>
      </c>
      <c r="P25" s="144">
        <v>0.116504854368932</v>
      </c>
      <c r="Q25" s="145">
        <v>4.8543689320387703E-3</v>
      </c>
    </row>
    <row r="26" spans="2:17" ht="15" customHeight="1" x14ac:dyDescent="0.35">
      <c r="B26" s="139">
        <v>23</v>
      </c>
      <c r="C26" s="1" t="s">
        <v>1903</v>
      </c>
      <c r="D26" s="1" t="s">
        <v>1909</v>
      </c>
      <c r="E26" s="1" t="s">
        <v>1904</v>
      </c>
      <c r="F26" s="1" t="s">
        <v>1904</v>
      </c>
      <c r="G26" s="1" t="s">
        <v>1907</v>
      </c>
      <c r="H26" s="1" t="s">
        <v>1890</v>
      </c>
      <c r="I26" s="144">
        <v>0.38888888888888901</v>
      </c>
      <c r="J26" s="144">
        <v>0.22222222222222199</v>
      </c>
      <c r="K26" s="144">
        <v>0.16666666666666699</v>
      </c>
      <c r="L26" s="144">
        <v>0.26920219626521502</v>
      </c>
      <c r="M26" s="144">
        <v>0.12433230311799</v>
      </c>
      <c r="N26" s="144">
        <v>0.14486989314722601</v>
      </c>
      <c r="O26" s="144">
        <v>0.116279069767442</v>
      </c>
      <c r="P26" s="144">
        <v>3.7209302325581298E-2</v>
      </c>
      <c r="Q26" s="145">
        <v>7.9069767441860506E-2</v>
      </c>
    </row>
    <row r="27" spans="2:17" ht="15" customHeight="1" x14ac:dyDescent="0.35">
      <c r="B27" s="139">
        <v>24</v>
      </c>
      <c r="C27" s="1" t="s">
        <v>1903</v>
      </c>
      <c r="D27" s="1" t="s">
        <v>1910</v>
      </c>
      <c r="E27" s="1" t="s">
        <v>1904</v>
      </c>
      <c r="F27" s="1" t="s">
        <v>1904</v>
      </c>
      <c r="G27" s="1" t="s">
        <v>1907</v>
      </c>
      <c r="H27" s="1" t="s">
        <v>1890</v>
      </c>
      <c r="I27" s="144">
        <v>0.5</v>
      </c>
      <c r="J27" s="144">
        <v>0.3</v>
      </c>
      <c r="K27" s="144">
        <v>0.2</v>
      </c>
      <c r="L27" s="144">
        <v>0.29652142639767998</v>
      </c>
      <c r="M27" s="144">
        <v>0.13406714484125201</v>
      </c>
      <c r="N27" s="144">
        <v>0.16245428155642699</v>
      </c>
      <c r="O27" s="144">
        <v>0.27413127413127403</v>
      </c>
      <c r="P27" s="144">
        <v>4.6332046332046302E-2</v>
      </c>
      <c r="Q27" s="145">
        <v>0.22779922779922801</v>
      </c>
    </row>
    <row r="28" spans="2:17" ht="15" customHeight="1" x14ac:dyDescent="0.35">
      <c r="B28" s="139">
        <v>25</v>
      </c>
      <c r="C28" s="1" t="s">
        <v>1906</v>
      </c>
      <c r="D28" s="1" t="s">
        <v>1908</v>
      </c>
      <c r="E28" s="1" t="s">
        <v>1904</v>
      </c>
      <c r="F28" s="1" t="s">
        <v>1904</v>
      </c>
      <c r="G28" s="1" t="s">
        <v>1907</v>
      </c>
      <c r="H28" s="1" t="s">
        <v>1890</v>
      </c>
      <c r="I28" s="144">
        <v>0.52631578947368396</v>
      </c>
      <c r="J28" s="144">
        <v>0.31578947368421101</v>
      </c>
      <c r="K28" s="144">
        <v>0.21052631578947401</v>
      </c>
      <c r="L28" s="144">
        <v>0.428661953405018</v>
      </c>
      <c r="M28" s="144">
        <v>0.23524745738805999</v>
      </c>
      <c r="N28" s="144">
        <v>0.19341449601695801</v>
      </c>
      <c r="O28" s="144">
        <v>0.26953125</v>
      </c>
      <c r="P28" s="144">
        <v>4.6875E-2</v>
      </c>
      <c r="Q28" s="145">
        <v>0.22265625</v>
      </c>
    </row>
    <row r="29" spans="2:17" ht="15" customHeight="1" x14ac:dyDescent="0.35">
      <c r="B29" s="139">
        <v>26</v>
      </c>
      <c r="C29" s="1" t="s">
        <v>1906</v>
      </c>
      <c r="D29" s="1" t="s">
        <v>1909</v>
      </c>
      <c r="E29" s="1" t="s">
        <v>1904</v>
      </c>
      <c r="F29" s="1" t="s">
        <v>1904</v>
      </c>
      <c r="G29" s="1" t="s">
        <v>1907</v>
      </c>
      <c r="H29" s="1" t="s">
        <v>1890</v>
      </c>
      <c r="I29" s="144">
        <v>0.476190476190476</v>
      </c>
      <c r="J29" s="144">
        <v>0.476190476190476</v>
      </c>
      <c r="K29" s="144">
        <v>0</v>
      </c>
      <c r="L29" s="144">
        <v>0.35670745877306997</v>
      </c>
      <c r="M29" s="144">
        <v>0.35477251805007898</v>
      </c>
      <c r="N29" s="144">
        <v>1.93494072299063E-3</v>
      </c>
      <c r="O29" s="144">
        <v>0.25378787878787901</v>
      </c>
      <c r="P29" s="144">
        <v>0.10606060606060599</v>
      </c>
      <c r="Q29" s="145">
        <v>0.14772727272727301</v>
      </c>
    </row>
    <row r="30" spans="2:17" ht="15" customHeight="1" x14ac:dyDescent="0.35">
      <c r="B30" s="139">
        <v>27</v>
      </c>
      <c r="C30" s="1" t="s">
        <v>1906</v>
      </c>
      <c r="D30" s="1" t="s">
        <v>1910</v>
      </c>
      <c r="E30" s="1" t="s">
        <v>1904</v>
      </c>
      <c r="F30" s="1" t="s">
        <v>1904</v>
      </c>
      <c r="G30" s="1" t="s">
        <v>1907</v>
      </c>
      <c r="H30" s="1" t="s">
        <v>1890</v>
      </c>
      <c r="I30" s="144">
        <v>0.35</v>
      </c>
      <c r="J30" s="144">
        <v>0.3</v>
      </c>
      <c r="K30" s="144">
        <v>0.05</v>
      </c>
      <c r="L30" s="144">
        <v>0.22672641414940201</v>
      </c>
      <c r="M30" s="144">
        <v>0.20796250277276099</v>
      </c>
      <c r="N30" s="144">
        <v>1.8763911376641101E-2</v>
      </c>
      <c r="O30" s="144">
        <v>3.515625E-2</v>
      </c>
      <c r="P30" s="144">
        <v>2.34375E-2</v>
      </c>
      <c r="Q30" s="145">
        <v>1.171875E-2</v>
      </c>
    </row>
    <row r="31" spans="2:17" ht="15" customHeight="1" x14ac:dyDescent="0.35">
      <c r="B31" s="139">
        <v>28</v>
      </c>
      <c r="C31" s="1" t="s">
        <v>1908</v>
      </c>
      <c r="D31" s="1" t="s">
        <v>1909</v>
      </c>
      <c r="E31" s="1" t="s">
        <v>1904</v>
      </c>
      <c r="F31" s="1" t="s">
        <v>1904</v>
      </c>
      <c r="G31" s="1" t="s">
        <v>1907</v>
      </c>
      <c r="H31" s="1" t="s">
        <v>1890</v>
      </c>
      <c r="I31" s="144">
        <v>0.25</v>
      </c>
      <c r="J31" s="144">
        <v>0</v>
      </c>
      <c r="K31" s="144">
        <v>0.25</v>
      </c>
      <c r="L31" s="144">
        <v>0.217356376167572</v>
      </c>
      <c r="M31" s="144">
        <v>0</v>
      </c>
      <c r="N31" s="144">
        <v>0.217356376167572</v>
      </c>
      <c r="O31" s="144">
        <v>8.5308056872037893E-2</v>
      </c>
      <c r="P31" s="144">
        <v>0</v>
      </c>
      <c r="Q31" s="145">
        <v>8.5308056872037893E-2</v>
      </c>
    </row>
    <row r="32" spans="2:17" ht="15" customHeight="1" x14ac:dyDescent="0.35">
      <c r="B32" s="139">
        <v>29</v>
      </c>
      <c r="C32" s="1" t="s">
        <v>1908</v>
      </c>
      <c r="D32" s="1" t="s">
        <v>1910</v>
      </c>
      <c r="E32" s="1" t="s">
        <v>1904</v>
      </c>
      <c r="F32" s="1" t="s">
        <v>1904</v>
      </c>
      <c r="G32" s="1" t="s">
        <v>1907</v>
      </c>
      <c r="H32" s="1" t="s">
        <v>1890</v>
      </c>
      <c r="I32" s="144">
        <v>0.47368421052631599</v>
      </c>
      <c r="J32" s="144">
        <v>0.21052631578947401</v>
      </c>
      <c r="K32" s="144">
        <v>0.26315789473684198</v>
      </c>
      <c r="L32" s="144">
        <v>0.34552921682244497</v>
      </c>
      <c r="M32" s="144">
        <v>0.124662864780527</v>
      </c>
      <c r="N32" s="144">
        <v>0.22086635204191801</v>
      </c>
      <c r="O32" s="144">
        <v>0.27131782945736399</v>
      </c>
      <c r="P32" s="144">
        <v>3.8759689922480703E-2</v>
      </c>
      <c r="Q32" s="145">
        <v>0.232558139534884</v>
      </c>
    </row>
    <row r="33" spans="2:17" ht="15" customHeight="1" x14ac:dyDescent="0.35">
      <c r="B33" s="139">
        <v>30</v>
      </c>
      <c r="C33" s="1" t="s">
        <v>1909</v>
      </c>
      <c r="D33" s="1" t="s">
        <v>1910</v>
      </c>
      <c r="E33" s="1" t="s">
        <v>1904</v>
      </c>
      <c r="F33" s="1" t="s">
        <v>1904</v>
      </c>
      <c r="G33" s="1" t="s">
        <v>1907</v>
      </c>
      <c r="H33" s="1" t="s">
        <v>1890</v>
      </c>
      <c r="I33" s="144">
        <v>0.42857142857142899</v>
      </c>
      <c r="J33" s="144">
        <v>0.38095238095238099</v>
      </c>
      <c r="K33" s="144">
        <v>4.7619047619047603E-2</v>
      </c>
      <c r="L33" s="144">
        <v>0.35286399405512903</v>
      </c>
      <c r="M33" s="144">
        <v>0.333495583687061</v>
      </c>
      <c r="N33" s="144">
        <v>1.9368410368068498E-2</v>
      </c>
      <c r="O33" s="144">
        <v>0.24905660377358499</v>
      </c>
      <c r="P33" s="144">
        <v>9.0566037735848995E-2</v>
      </c>
      <c r="Q33" s="145">
        <v>0.15849056603773601</v>
      </c>
    </row>
    <row r="34" spans="2:17" ht="15" customHeight="1" x14ac:dyDescent="0.35">
      <c r="B34" s="139">
        <v>31</v>
      </c>
      <c r="C34" s="135" t="s">
        <v>1911</v>
      </c>
      <c r="D34" s="135" t="s">
        <v>1915</v>
      </c>
      <c r="E34" s="135" t="s">
        <v>1912</v>
      </c>
      <c r="F34" s="135" t="s">
        <v>31</v>
      </c>
      <c r="G34" s="135" t="s">
        <v>1916</v>
      </c>
      <c r="H34" s="135" t="s">
        <v>1890</v>
      </c>
      <c r="I34" s="146">
        <v>0.46428571428571402</v>
      </c>
      <c r="J34" s="146">
        <v>0.35714285714285698</v>
      </c>
      <c r="K34" s="146">
        <v>0.107142857142857</v>
      </c>
      <c r="L34" s="146">
        <v>0.41384957197775901</v>
      </c>
      <c r="M34" s="146">
        <v>0.31575145729799797</v>
      </c>
      <c r="N34" s="146">
        <v>9.8098114679761095E-2</v>
      </c>
      <c r="O34" s="146">
        <v>0.191637630662021</v>
      </c>
      <c r="P34" s="146">
        <v>0.15331010452961699</v>
      </c>
      <c r="Q34" s="147">
        <v>3.8327526132404199E-2</v>
      </c>
    </row>
    <row r="35" spans="2:17" ht="15" customHeight="1" x14ac:dyDescent="0.35">
      <c r="B35" s="139">
        <v>32</v>
      </c>
      <c r="C35" s="135" t="s">
        <v>1911</v>
      </c>
      <c r="D35" s="135" t="s">
        <v>1917</v>
      </c>
      <c r="E35" s="135" t="s">
        <v>1912</v>
      </c>
      <c r="F35" s="135" t="s">
        <v>1912</v>
      </c>
      <c r="G35" s="135" t="s">
        <v>1916</v>
      </c>
      <c r="H35" s="135" t="s">
        <v>1890</v>
      </c>
      <c r="I35" s="146">
        <v>0.58620689655172398</v>
      </c>
      <c r="J35" s="146">
        <v>0.55172413793103403</v>
      </c>
      <c r="K35" s="146">
        <v>3.4482758620689703E-2</v>
      </c>
      <c r="L35" s="146">
        <v>0.43392809463938697</v>
      </c>
      <c r="M35" s="146">
        <v>0.40317066737514801</v>
      </c>
      <c r="N35" s="146">
        <v>3.07574272642386E-2</v>
      </c>
      <c r="O35" s="146">
        <v>0.28321678321678301</v>
      </c>
      <c r="P35" s="146">
        <v>0.223776223776224</v>
      </c>
      <c r="Q35" s="147">
        <v>5.9440559440559301E-2</v>
      </c>
    </row>
    <row r="36" spans="2:17" ht="15" customHeight="1" x14ac:dyDescent="0.35">
      <c r="B36" s="139">
        <v>33</v>
      </c>
      <c r="C36" s="135" t="s">
        <v>1911</v>
      </c>
      <c r="D36" s="135" t="s">
        <v>1918</v>
      </c>
      <c r="E36" s="135" t="s">
        <v>1912</v>
      </c>
      <c r="F36" s="135" t="s">
        <v>1912</v>
      </c>
      <c r="G36" s="135" t="s">
        <v>1916</v>
      </c>
      <c r="H36" s="135" t="s">
        <v>1890</v>
      </c>
      <c r="I36" s="146">
        <v>0.46428571428571402</v>
      </c>
      <c r="J36" s="146">
        <v>0.35714285714285698</v>
      </c>
      <c r="K36" s="146">
        <v>0.107142857142857</v>
      </c>
      <c r="L36" s="146">
        <v>0.29314805699482999</v>
      </c>
      <c r="M36" s="146">
        <v>0.19368217022783199</v>
      </c>
      <c r="N36" s="146">
        <v>9.9465886766998898E-2</v>
      </c>
      <c r="O36" s="146">
        <v>0.16551724137931001</v>
      </c>
      <c r="P36" s="146">
        <v>8.2758620689655199E-2</v>
      </c>
      <c r="Q36" s="147">
        <v>8.2758620689655199E-2</v>
      </c>
    </row>
    <row r="37" spans="2:17" ht="15" customHeight="1" x14ac:dyDescent="0.35">
      <c r="B37" s="139">
        <v>34</v>
      </c>
      <c r="C37" s="135" t="s">
        <v>1911</v>
      </c>
      <c r="D37" s="135" t="s">
        <v>1919</v>
      </c>
      <c r="E37" s="135" t="s">
        <v>1912</v>
      </c>
      <c r="F37" s="135" t="s">
        <v>1912</v>
      </c>
      <c r="G37" s="135" t="s">
        <v>1916</v>
      </c>
      <c r="H37" s="135" t="s">
        <v>1890</v>
      </c>
      <c r="I37" s="146">
        <v>0.55172413793103403</v>
      </c>
      <c r="J37" s="146">
        <v>0.48275862068965503</v>
      </c>
      <c r="K37" s="146">
        <v>6.8965517241379296E-2</v>
      </c>
      <c r="L37" s="146">
        <v>0.29046692799688101</v>
      </c>
      <c r="M37" s="146">
        <v>0.21713878712925599</v>
      </c>
      <c r="N37" s="146">
        <v>7.3328140867625693E-2</v>
      </c>
      <c r="O37" s="146">
        <v>0.176056338028169</v>
      </c>
      <c r="P37" s="146">
        <v>0.140845070422535</v>
      </c>
      <c r="Q37" s="147">
        <v>3.5211267605633902E-2</v>
      </c>
    </row>
    <row r="38" spans="2:17" ht="15" customHeight="1" x14ac:dyDescent="0.35">
      <c r="B38" s="139">
        <v>35</v>
      </c>
      <c r="C38" s="135" t="s">
        <v>1915</v>
      </c>
      <c r="D38" s="135" t="s">
        <v>1917</v>
      </c>
      <c r="E38" s="135" t="s">
        <v>1912</v>
      </c>
      <c r="F38" s="135" t="s">
        <v>1912</v>
      </c>
      <c r="G38" s="135" t="s">
        <v>1916</v>
      </c>
      <c r="H38" s="135" t="s">
        <v>1890</v>
      </c>
      <c r="I38" s="146">
        <v>0.53333333333333299</v>
      </c>
      <c r="J38" s="146">
        <v>0.46666666666666701</v>
      </c>
      <c r="K38" s="146">
        <v>6.6666666666666693E-2</v>
      </c>
      <c r="L38" s="146">
        <v>0.39658741378757001</v>
      </c>
      <c r="M38" s="146">
        <v>0.32883018308749601</v>
      </c>
      <c r="N38" s="146">
        <v>6.7757230700073404E-2</v>
      </c>
      <c r="O38" s="146">
        <v>0.32107023411371199</v>
      </c>
      <c r="P38" s="146">
        <v>0.22742474916388</v>
      </c>
      <c r="Q38" s="147">
        <v>9.36454849498327E-2</v>
      </c>
    </row>
    <row r="39" spans="2:17" ht="15" customHeight="1" x14ac:dyDescent="0.35">
      <c r="B39" s="139">
        <v>36</v>
      </c>
      <c r="C39" s="135" t="s">
        <v>1915</v>
      </c>
      <c r="D39" s="135" t="s">
        <v>1918</v>
      </c>
      <c r="E39" s="135" t="s">
        <v>1912</v>
      </c>
      <c r="F39" s="135" t="s">
        <v>1912</v>
      </c>
      <c r="G39" s="135" t="s">
        <v>1916</v>
      </c>
      <c r="H39" s="135" t="s">
        <v>1890</v>
      </c>
      <c r="I39" s="146">
        <v>0.41379310344827602</v>
      </c>
      <c r="J39" s="146">
        <v>0.41379310344827602</v>
      </c>
      <c r="K39" s="146">
        <v>0</v>
      </c>
      <c r="L39" s="146">
        <v>0.305742437751576</v>
      </c>
      <c r="M39" s="146">
        <v>0.29966832165740498</v>
      </c>
      <c r="N39" s="146">
        <v>6.0741160941711701E-3</v>
      </c>
      <c r="O39" s="146">
        <v>0.146757679180888</v>
      </c>
      <c r="P39" s="146">
        <v>0.102389078498294</v>
      </c>
      <c r="Q39" s="147">
        <v>4.4368600682593802E-2</v>
      </c>
    </row>
    <row r="40" spans="2:17" ht="15" customHeight="1" x14ac:dyDescent="0.35">
      <c r="B40" s="139">
        <v>37</v>
      </c>
      <c r="C40" s="135" t="s">
        <v>1915</v>
      </c>
      <c r="D40" s="135" t="s">
        <v>1919</v>
      </c>
      <c r="E40" s="135" t="s">
        <v>1912</v>
      </c>
      <c r="F40" s="135" t="s">
        <v>1912</v>
      </c>
      <c r="G40" s="135" t="s">
        <v>1916</v>
      </c>
      <c r="H40" s="135" t="s">
        <v>1890</v>
      </c>
      <c r="I40" s="146">
        <v>0.44827586206896602</v>
      </c>
      <c r="J40" s="146">
        <v>0.41379310344827602</v>
      </c>
      <c r="K40" s="146">
        <v>3.4482758620689703E-2</v>
      </c>
      <c r="L40" s="146">
        <v>0.35870622789849499</v>
      </c>
      <c r="M40" s="146">
        <v>0.32751604613501401</v>
      </c>
      <c r="N40" s="146">
        <v>3.1190181763481099E-2</v>
      </c>
      <c r="O40" s="146">
        <v>0.206779661016949</v>
      </c>
      <c r="P40" s="146">
        <v>0.20338983050847501</v>
      </c>
      <c r="Q40" s="147">
        <v>3.3898305084745302E-3</v>
      </c>
    </row>
    <row r="41" spans="2:17" ht="15" customHeight="1" x14ac:dyDescent="0.35">
      <c r="B41" s="139">
        <v>38</v>
      </c>
      <c r="C41" s="135" t="s">
        <v>1917</v>
      </c>
      <c r="D41" s="135" t="s">
        <v>1918</v>
      </c>
      <c r="E41" s="135" t="s">
        <v>1912</v>
      </c>
      <c r="F41" s="135" t="s">
        <v>1912</v>
      </c>
      <c r="G41" s="135" t="s">
        <v>1916</v>
      </c>
      <c r="H41" s="135" t="s">
        <v>1890</v>
      </c>
      <c r="I41" s="146">
        <v>0.37037037037037002</v>
      </c>
      <c r="J41" s="146">
        <v>0.296296296296296</v>
      </c>
      <c r="K41" s="146">
        <v>7.4074074074074098E-2</v>
      </c>
      <c r="L41" s="146">
        <v>0.32273064664828399</v>
      </c>
      <c r="M41" s="146">
        <v>0.25785574922782301</v>
      </c>
      <c r="N41" s="146">
        <v>6.4874897420461597E-2</v>
      </c>
      <c r="O41" s="146">
        <v>0.211805555555556</v>
      </c>
      <c r="P41" s="146">
        <v>6.94444444444446E-2</v>
      </c>
      <c r="Q41" s="147">
        <v>0.14236111111111099</v>
      </c>
    </row>
    <row r="42" spans="2:17" ht="15" customHeight="1" x14ac:dyDescent="0.35">
      <c r="B42" s="139">
        <v>39</v>
      </c>
      <c r="C42" s="135" t="s">
        <v>1917</v>
      </c>
      <c r="D42" s="135" t="s">
        <v>1919</v>
      </c>
      <c r="E42" s="135" t="s">
        <v>1912</v>
      </c>
      <c r="F42" s="135" t="s">
        <v>1912</v>
      </c>
      <c r="G42" s="135" t="s">
        <v>1916</v>
      </c>
      <c r="H42" s="135" t="s">
        <v>1890</v>
      </c>
      <c r="I42" s="146">
        <v>0.56666666666666698</v>
      </c>
      <c r="J42" s="146">
        <v>0.53333333333333299</v>
      </c>
      <c r="K42" s="146">
        <v>3.3333333333333298E-2</v>
      </c>
      <c r="L42" s="146">
        <v>0.43780658982519899</v>
      </c>
      <c r="M42" s="146">
        <v>0.40144901285116702</v>
      </c>
      <c r="N42" s="146">
        <v>3.6357576974032801E-2</v>
      </c>
      <c r="O42" s="146">
        <v>0.21708185053380799</v>
      </c>
      <c r="P42" s="146">
        <v>0.120996441281139</v>
      </c>
      <c r="Q42" s="147">
        <v>9.6085409252668993E-2</v>
      </c>
    </row>
    <row r="43" spans="2:17" ht="15" customHeight="1" x14ac:dyDescent="0.35">
      <c r="B43" s="139">
        <v>40</v>
      </c>
      <c r="C43" s="135" t="s">
        <v>1918</v>
      </c>
      <c r="D43" s="135" t="s">
        <v>1919</v>
      </c>
      <c r="E43" s="135" t="s">
        <v>1912</v>
      </c>
      <c r="F43" s="135" t="s">
        <v>1912</v>
      </c>
      <c r="G43" s="135" t="s">
        <v>1916</v>
      </c>
      <c r="H43" s="135" t="s">
        <v>1890</v>
      </c>
      <c r="I43" s="146">
        <v>0.44827586206896602</v>
      </c>
      <c r="J43" s="146">
        <v>0.41379310344827602</v>
      </c>
      <c r="K43" s="146">
        <v>3.4482758620689703E-2</v>
      </c>
      <c r="L43" s="146">
        <v>0.29268806396090802</v>
      </c>
      <c r="M43" s="146">
        <v>0.26636243586292002</v>
      </c>
      <c r="N43" s="146">
        <v>2.6325628097988E-2</v>
      </c>
      <c r="O43" s="146">
        <v>0.13103448275862101</v>
      </c>
      <c r="P43" s="146">
        <v>8.2758620689655393E-2</v>
      </c>
      <c r="Q43" s="147">
        <v>4.8275862068965399E-2</v>
      </c>
    </row>
    <row r="44" spans="2:17" ht="15" customHeight="1" x14ac:dyDescent="0.35">
      <c r="B44" s="139">
        <v>41</v>
      </c>
      <c r="C44" s="1" t="s">
        <v>1920</v>
      </c>
      <c r="D44" s="1" t="s">
        <v>1925</v>
      </c>
      <c r="E44" s="1" t="s">
        <v>1921</v>
      </c>
      <c r="F44" s="1" t="s">
        <v>32</v>
      </c>
      <c r="G44" s="1" t="s">
        <v>1926</v>
      </c>
      <c r="H44" s="1" t="s">
        <v>1890</v>
      </c>
      <c r="I44" s="144">
        <v>0.53333333333333299</v>
      </c>
      <c r="J44" s="144">
        <v>0.4</v>
      </c>
      <c r="K44" s="144">
        <v>0.133333333333333</v>
      </c>
      <c r="L44" s="144">
        <v>0.41486671000697101</v>
      </c>
      <c r="M44" s="144">
        <v>0.32324090055898502</v>
      </c>
      <c r="N44" s="144">
        <v>9.1625809447986706E-2</v>
      </c>
      <c r="O44" s="144">
        <v>0.18339100346020701</v>
      </c>
      <c r="P44" s="144">
        <v>0.131487889273356</v>
      </c>
      <c r="Q44" s="145">
        <v>5.1903114186851201E-2</v>
      </c>
    </row>
    <row r="45" spans="2:17" ht="15" customHeight="1" x14ac:dyDescent="0.35">
      <c r="B45" s="139">
        <v>42</v>
      </c>
      <c r="C45" s="1" t="s">
        <v>1920</v>
      </c>
      <c r="D45" s="1" t="s">
        <v>1927</v>
      </c>
      <c r="E45" s="1" t="s">
        <v>1921</v>
      </c>
      <c r="F45" s="1" t="s">
        <v>1921</v>
      </c>
      <c r="G45" s="1" t="s">
        <v>1926</v>
      </c>
      <c r="H45" s="1" t="s">
        <v>1890</v>
      </c>
      <c r="I45" s="144">
        <v>0.55555555555555602</v>
      </c>
      <c r="J45" s="144">
        <v>0.51851851851851805</v>
      </c>
      <c r="K45" s="144">
        <v>3.7037037037037E-2</v>
      </c>
      <c r="L45" s="144">
        <v>0.43105046311495199</v>
      </c>
      <c r="M45" s="144">
        <v>0.32578425358295598</v>
      </c>
      <c r="N45" s="144">
        <v>0.105266209531995</v>
      </c>
      <c r="O45" s="144">
        <v>0.31228070175438599</v>
      </c>
      <c r="P45" s="144">
        <v>0.105263157894737</v>
      </c>
      <c r="Q45" s="145">
        <v>0.20701754385964899</v>
      </c>
    </row>
    <row r="46" spans="2:17" ht="15" customHeight="1" x14ac:dyDescent="0.35">
      <c r="B46" s="139">
        <v>43</v>
      </c>
      <c r="C46" s="1" t="s">
        <v>1920</v>
      </c>
      <c r="D46" s="1" t="s">
        <v>1928</v>
      </c>
      <c r="E46" s="1" t="s">
        <v>1921</v>
      </c>
      <c r="F46" s="1" t="s">
        <v>1921</v>
      </c>
      <c r="G46" s="1" t="s">
        <v>1926</v>
      </c>
      <c r="H46" s="1" t="s">
        <v>1890</v>
      </c>
      <c r="I46" s="144">
        <v>0.64516129032258096</v>
      </c>
      <c r="J46" s="144">
        <v>0.58064516129032295</v>
      </c>
      <c r="K46" s="144">
        <v>6.4516129032258104E-2</v>
      </c>
      <c r="L46" s="144">
        <v>0.52438796754960004</v>
      </c>
      <c r="M46" s="144">
        <v>0.48275098625206603</v>
      </c>
      <c r="N46" s="144">
        <v>4.16369812975333E-2</v>
      </c>
      <c r="O46" s="144">
        <v>0.22108843537414999</v>
      </c>
      <c r="P46" s="144">
        <v>0.16326530612244899</v>
      </c>
      <c r="Q46" s="145">
        <v>5.7823129251700703E-2</v>
      </c>
    </row>
    <row r="47" spans="2:17" ht="15" customHeight="1" x14ac:dyDescent="0.35">
      <c r="B47" s="139">
        <v>44</v>
      </c>
      <c r="C47" s="1" t="s">
        <v>1920</v>
      </c>
      <c r="D47" s="1" t="s">
        <v>1929</v>
      </c>
      <c r="E47" s="1" t="s">
        <v>1921</v>
      </c>
      <c r="F47" s="1" t="s">
        <v>1921</v>
      </c>
      <c r="G47" s="1" t="s">
        <v>1926</v>
      </c>
      <c r="H47" s="1" t="s">
        <v>1890</v>
      </c>
      <c r="I47" s="144">
        <v>0.67857142857142905</v>
      </c>
      <c r="J47" s="144">
        <v>0.57142857142857095</v>
      </c>
      <c r="K47" s="144">
        <v>0.107142857142857</v>
      </c>
      <c r="L47" s="144">
        <v>0.54039902365861603</v>
      </c>
      <c r="M47" s="144">
        <v>0.40029703512418602</v>
      </c>
      <c r="N47" s="144">
        <v>0.14010198853443001</v>
      </c>
      <c r="O47" s="144">
        <v>0.34589041095890399</v>
      </c>
      <c r="P47" s="144">
        <v>0.150684931506849</v>
      </c>
      <c r="Q47" s="145">
        <v>0.19520547945205499</v>
      </c>
    </row>
    <row r="48" spans="2:17" ht="15" customHeight="1" x14ac:dyDescent="0.35">
      <c r="B48" s="139">
        <v>45</v>
      </c>
      <c r="C48" s="1" t="s">
        <v>1925</v>
      </c>
      <c r="D48" s="1" t="s">
        <v>1927</v>
      </c>
      <c r="E48" s="1" t="s">
        <v>1921</v>
      </c>
      <c r="F48" s="1" t="s">
        <v>1921</v>
      </c>
      <c r="G48" s="1" t="s">
        <v>1926</v>
      </c>
      <c r="H48" s="1" t="s">
        <v>1890</v>
      </c>
      <c r="I48" s="144">
        <v>0.51724137931034497</v>
      </c>
      <c r="J48" s="144">
        <v>0.34482758620689702</v>
      </c>
      <c r="K48" s="144">
        <v>0.17241379310344801</v>
      </c>
      <c r="L48" s="144">
        <v>0.38516731361390999</v>
      </c>
      <c r="M48" s="144">
        <v>0.184259280727437</v>
      </c>
      <c r="N48" s="144">
        <v>0.20090803288647299</v>
      </c>
      <c r="O48" s="144">
        <v>0.234848484848485</v>
      </c>
      <c r="P48" s="144">
        <v>6.8181818181818094E-2</v>
      </c>
      <c r="Q48" s="145">
        <v>0.16666666666666699</v>
      </c>
    </row>
    <row r="49" spans="2:17" ht="15" customHeight="1" x14ac:dyDescent="0.35">
      <c r="B49" s="139">
        <v>46</v>
      </c>
      <c r="C49" s="1" t="s">
        <v>1925</v>
      </c>
      <c r="D49" s="1" t="s">
        <v>1928</v>
      </c>
      <c r="E49" s="1" t="s">
        <v>1921</v>
      </c>
      <c r="F49" s="1" t="s">
        <v>1921</v>
      </c>
      <c r="G49" s="1" t="s">
        <v>1926</v>
      </c>
      <c r="H49" s="1" t="s">
        <v>1890</v>
      </c>
      <c r="I49" s="144">
        <v>0.46666666666666701</v>
      </c>
      <c r="J49" s="144">
        <v>0.4</v>
      </c>
      <c r="K49" s="144">
        <v>6.6666666666666693E-2</v>
      </c>
      <c r="L49" s="144">
        <v>0.35614774865520099</v>
      </c>
      <c r="M49" s="144">
        <v>0.30743251275488698</v>
      </c>
      <c r="N49" s="144">
        <v>4.8715235900314298E-2</v>
      </c>
      <c r="O49" s="144">
        <v>0.11851851851851899</v>
      </c>
      <c r="P49" s="144">
        <v>0.11111111111111099</v>
      </c>
      <c r="Q49" s="145">
        <v>7.4074074074074597E-3</v>
      </c>
    </row>
    <row r="50" spans="2:17" ht="15" customHeight="1" x14ac:dyDescent="0.35">
      <c r="B50" s="139">
        <v>47</v>
      </c>
      <c r="C50" s="1" t="s">
        <v>1925</v>
      </c>
      <c r="D50" s="1" t="s">
        <v>1929</v>
      </c>
      <c r="E50" s="1" t="s">
        <v>1921</v>
      </c>
      <c r="F50" s="1" t="s">
        <v>1921</v>
      </c>
      <c r="G50" s="1" t="s">
        <v>1926</v>
      </c>
      <c r="H50" s="1" t="s">
        <v>1890</v>
      </c>
      <c r="I50" s="144">
        <v>0.63333333333333297</v>
      </c>
      <c r="J50" s="144">
        <v>0.4</v>
      </c>
      <c r="K50" s="144">
        <v>0.233333333333333</v>
      </c>
      <c r="L50" s="144">
        <v>0.59486786185761298</v>
      </c>
      <c r="M50" s="144">
        <v>0.379965333197407</v>
      </c>
      <c r="N50" s="144">
        <v>0.21490252866020701</v>
      </c>
      <c r="O50" s="144">
        <v>0.29818181818181799</v>
      </c>
      <c r="P50" s="144">
        <v>0.145454545454545</v>
      </c>
      <c r="Q50" s="145">
        <v>0.15272727272727299</v>
      </c>
    </row>
    <row r="51" spans="2:17" ht="15" customHeight="1" x14ac:dyDescent="0.35">
      <c r="B51" s="139">
        <v>48</v>
      </c>
      <c r="C51" s="1" t="s">
        <v>1927</v>
      </c>
      <c r="D51" s="1" t="s">
        <v>1928</v>
      </c>
      <c r="E51" s="1" t="s">
        <v>1921</v>
      </c>
      <c r="F51" s="1" t="s">
        <v>1921</v>
      </c>
      <c r="G51" s="1" t="s">
        <v>1926</v>
      </c>
      <c r="H51" s="1" t="s">
        <v>1890</v>
      </c>
      <c r="I51" s="144">
        <v>0.53571428571428603</v>
      </c>
      <c r="J51" s="144">
        <v>0.42857142857142899</v>
      </c>
      <c r="K51" s="144">
        <v>0.107142857142857</v>
      </c>
      <c r="L51" s="144">
        <v>0.47832381796788798</v>
      </c>
      <c r="M51" s="144">
        <v>0.33356662636698298</v>
      </c>
      <c r="N51" s="144">
        <v>0.144757191600905</v>
      </c>
      <c r="O51" s="144">
        <v>0.255639097744361</v>
      </c>
      <c r="P51" s="144">
        <v>9.7744360902255495E-2</v>
      </c>
      <c r="Q51" s="145">
        <v>0.157894736842105</v>
      </c>
    </row>
    <row r="52" spans="2:17" ht="15" customHeight="1" x14ac:dyDescent="0.35">
      <c r="B52" s="139">
        <v>49</v>
      </c>
      <c r="C52" s="1" t="s">
        <v>1927</v>
      </c>
      <c r="D52" s="1" t="s">
        <v>1929</v>
      </c>
      <c r="E52" s="1" t="s">
        <v>1921</v>
      </c>
      <c r="F52" s="1" t="s">
        <v>1921</v>
      </c>
      <c r="G52" s="1" t="s">
        <v>1926</v>
      </c>
      <c r="H52" s="1" t="s">
        <v>1890</v>
      </c>
      <c r="I52" s="144">
        <v>0.66666666666666696</v>
      </c>
      <c r="J52" s="144">
        <v>0.592592592592593</v>
      </c>
      <c r="K52" s="144">
        <v>7.4074074074074098E-2</v>
      </c>
      <c r="L52" s="144">
        <v>0.62294437303722405</v>
      </c>
      <c r="M52" s="144">
        <v>0.58289911813331496</v>
      </c>
      <c r="N52" s="144">
        <v>4.0045254903909401E-2</v>
      </c>
      <c r="O52" s="144">
        <v>0.247933884297521</v>
      </c>
      <c r="P52" s="144">
        <v>0.23966942148760301</v>
      </c>
      <c r="Q52" s="145">
        <v>8.2644628099172394E-3</v>
      </c>
    </row>
    <row r="53" spans="2:17" ht="15" customHeight="1" x14ac:dyDescent="0.35">
      <c r="B53" s="139">
        <v>50</v>
      </c>
      <c r="C53" s="1" t="s">
        <v>1928</v>
      </c>
      <c r="D53" s="1" t="s">
        <v>1929</v>
      </c>
      <c r="E53" s="1" t="s">
        <v>1921</v>
      </c>
      <c r="F53" s="1" t="s">
        <v>1921</v>
      </c>
      <c r="G53" s="1" t="s">
        <v>1926</v>
      </c>
      <c r="H53" s="1" t="s">
        <v>1890</v>
      </c>
      <c r="I53" s="144">
        <v>0.44</v>
      </c>
      <c r="J53" s="144">
        <v>0.24</v>
      </c>
      <c r="K53" s="144">
        <v>0.2</v>
      </c>
      <c r="L53" s="144">
        <v>0.37370596723008398</v>
      </c>
      <c r="M53" s="144">
        <v>0.172260557781834</v>
      </c>
      <c r="N53" s="144">
        <v>0.20144540944825101</v>
      </c>
      <c r="O53" s="144">
        <v>0.234848484848485</v>
      </c>
      <c r="P53" s="144">
        <v>8.3333333333333398E-2</v>
      </c>
      <c r="Q53" s="145">
        <v>0.15151515151515199</v>
      </c>
    </row>
    <row r="54" spans="2:17" ht="15" customHeight="1" x14ac:dyDescent="0.35">
      <c r="B54" s="140">
        <v>51</v>
      </c>
      <c r="C54" s="135" t="s">
        <v>1887</v>
      </c>
      <c r="D54" s="135" t="s">
        <v>1895</v>
      </c>
      <c r="E54" s="135" t="s">
        <v>1889</v>
      </c>
      <c r="F54" s="135" t="s">
        <v>1896</v>
      </c>
      <c r="G54" s="135" t="s">
        <v>1931</v>
      </c>
      <c r="H54" s="135" t="s">
        <v>1897</v>
      </c>
      <c r="I54" s="146">
        <v>0.76190476190476197</v>
      </c>
      <c r="J54" s="146">
        <v>0.19047619047618999</v>
      </c>
      <c r="K54" s="146">
        <v>0.57142857142857095</v>
      </c>
      <c r="L54" s="146">
        <v>0.64331104954273399</v>
      </c>
      <c r="M54" s="146">
        <v>0.23453852664616401</v>
      </c>
      <c r="N54" s="146">
        <v>0.40877252289657001</v>
      </c>
      <c r="O54" s="146">
        <v>0.51102941176470595</v>
      </c>
      <c r="P54" s="146">
        <v>0.11764705882352899</v>
      </c>
      <c r="Q54" s="147">
        <v>0.39338235294117702</v>
      </c>
    </row>
    <row r="55" spans="2:17" ht="15" customHeight="1" x14ac:dyDescent="0.35">
      <c r="B55" s="140">
        <v>52</v>
      </c>
      <c r="C55" s="135" t="s">
        <v>1887</v>
      </c>
      <c r="D55" s="135" t="s">
        <v>1898</v>
      </c>
      <c r="E55" s="135" t="s">
        <v>1889</v>
      </c>
      <c r="F55" s="135" t="s">
        <v>1896</v>
      </c>
      <c r="G55" s="135" t="s">
        <v>1931</v>
      </c>
      <c r="H55" s="135" t="s">
        <v>1897</v>
      </c>
      <c r="I55" s="146">
        <v>0.81818181818181801</v>
      </c>
      <c r="J55" s="146">
        <v>0.27272727272727298</v>
      </c>
      <c r="K55" s="146">
        <v>0.54545454545454497</v>
      </c>
      <c r="L55" s="146">
        <v>0.65367078906203702</v>
      </c>
      <c r="M55" s="146">
        <v>0.28277913551745798</v>
      </c>
      <c r="N55" s="146">
        <v>0.37089165354457998</v>
      </c>
      <c r="O55" s="146">
        <v>0.48339483394833899</v>
      </c>
      <c r="P55" s="146">
        <v>6.6420664206642097E-2</v>
      </c>
      <c r="Q55" s="147">
        <v>0.41697416974169699</v>
      </c>
    </row>
    <row r="56" spans="2:17" ht="15" customHeight="1" x14ac:dyDescent="0.35">
      <c r="B56" s="140">
        <v>53</v>
      </c>
      <c r="C56" s="135" t="s">
        <v>1887</v>
      </c>
      <c r="D56" s="135" t="s">
        <v>1900</v>
      </c>
      <c r="E56" s="135" t="s">
        <v>1889</v>
      </c>
      <c r="F56" s="135" t="s">
        <v>1896</v>
      </c>
      <c r="G56" s="135" t="s">
        <v>1931</v>
      </c>
      <c r="H56" s="135" t="s">
        <v>1897</v>
      </c>
      <c r="I56" s="146">
        <v>0.875</v>
      </c>
      <c r="J56" s="146">
        <v>0.33333333333333298</v>
      </c>
      <c r="K56" s="146">
        <v>0.54166666666666696</v>
      </c>
      <c r="L56" s="146">
        <v>0.69953449736645201</v>
      </c>
      <c r="M56" s="146">
        <v>0.27194160938300099</v>
      </c>
      <c r="N56" s="146">
        <v>0.42759288798345102</v>
      </c>
      <c r="O56" s="146">
        <v>0.53125</v>
      </c>
      <c r="P56" s="146">
        <v>9.7222222222222293E-2</v>
      </c>
      <c r="Q56" s="147">
        <v>0.43402777777777801</v>
      </c>
    </row>
    <row r="57" spans="2:17" ht="15" customHeight="1" x14ac:dyDescent="0.35">
      <c r="B57" s="140">
        <v>54</v>
      </c>
      <c r="C57" s="135" t="s">
        <v>1887</v>
      </c>
      <c r="D57" s="135" t="s">
        <v>1901</v>
      </c>
      <c r="E57" s="135" t="s">
        <v>1889</v>
      </c>
      <c r="F57" s="135" t="s">
        <v>1896</v>
      </c>
      <c r="G57" s="135" t="s">
        <v>1931</v>
      </c>
      <c r="H57" s="135" t="s">
        <v>1897</v>
      </c>
      <c r="I57" s="146">
        <v>0.85714285714285698</v>
      </c>
      <c r="J57" s="146">
        <v>0.38095238095238099</v>
      </c>
      <c r="K57" s="146">
        <v>0.476190476190476</v>
      </c>
      <c r="L57" s="146">
        <v>0.78340457342147796</v>
      </c>
      <c r="M57" s="146">
        <v>0.43546559021236197</v>
      </c>
      <c r="N57" s="146">
        <v>0.34793898320911598</v>
      </c>
      <c r="O57" s="146">
        <v>0.73476702508960601</v>
      </c>
      <c r="P57" s="146">
        <v>0.53763440860215095</v>
      </c>
      <c r="Q57" s="147">
        <v>0.197132616487455</v>
      </c>
    </row>
    <row r="58" spans="2:17" ht="15" customHeight="1" x14ac:dyDescent="0.35">
      <c r="B58" s="140">
        <v>55</v>
      </c>
      <c r="C58" s="135" t="s">
        <v>1887</v>
      </c>
      <c r="D58" s="135" t="s">
        <v>1902</v>
      </c>
      <c r="E58" s="135" t="s">
        <v>1889</v>
      </c>
      <c r="F58" s="135" t="s">
        <v>1896</v>
      </c>
      <c r="G58" s="135" t="s">
        <v>1931</v>
      </c>
      <c r="H58" s="135" t="s">
        <v>1897</v>
      </c>
      <c r="I58" s="146">
        <v>0.80952380952380998</v>
      </c>
      <c r="J58" s="146">
        <v>0.28571428571428598</v>
      </c>
      <c r="K58" s="146">
        <v>0.52380952380952395</v>
      </c>
      <c r="L58" s="146">
        <v>0.60996648792282104</v>
      </c>
      <c r="M58" s="146">
        <v>0.22348030453422699</v>
      </c>
      <c r="N58" s="146">
        <v>0.38648618338859297</v>
      </c>
      <c r="O58" s="146">
        <v>0.46341463414634199</v>
      </c>
      <c r="P58" s="146">
        <v>0.138211382113821</v>
      </c>
      <c r="Q58" s="147">
        <v>0.32520325203251998</v>
      </c>
    </row>
    <row r="59" spans="2:17" ht="15" customHeight="1" x14ac:dyDescent="0.35">
      <c r="B59" s="140">
        <v>56</v>
      </c>
      <c r="C59" s="135" t="s">
        <v>1888</v>
      </c>
      <c r="D59" s="135" t="s">
        <v>1895</v>
      </c>
      <c r="E59" s="135" t="s">
        <v>1889</v>
      </c>
      <c r="F59" s="135" t="s">
        <v>1896</v>
      </c>
      <c r="G59" s="135" t="s">
        <v>1931</v>
      </c>
      <c r="H59" s="135" t="s">
        <v>1897</v>
      </c>
      <c r="I59" s="146">
        <v>0.6</v>
      </c>
      <c r="J59" s="146">
        <v>0.1</v>
      </c>
      <c r="K59" s="146">
        <v>0.5</v>
      </c>
      <c r="L59" s="146">
        <v>0.45311139808958101</v>
      </c>
      <c r="M59" s="146">
        <v>3.83668624861844E-2</v>
      </c>
      <c r="N59" s="146">
        <v>0.41474453560339702</v>
      </c>
      <c r="O59" s="146">
        <v>0.34108527131783001</v>
      </c>
      <c r="P59" s="146">
        <v>1.5503875968992401E-2</v>
      </c>
      <c r="Q59" s="147">
        <v>0.32558139534883701</v>
      </c>
    </row>
    <row r="60" spans="2:17" ht="15" customHeight="1" x14ac:dyDescent="0.35">
      <c r="B60" s="140">
        <v>57</v>
      </c>
      <c r="C60" s="135" t="s">
        <v>1888</v>
      </c>
      <c r="D60" s="135" t="s">
        <v>1898</v>
      </c>
      <c r="E60" s="135" t="s">
        <v>1889</v>
      </c>
      <c r="F60" s="135" t="s">
        <v>1896</v>
      </c>
      <c r="G60" s="135" t="s">
        <v>1931</v>
      </c>
      <c r="H60" s="135" t="s">
        <v>1897</v>
      </c>
      <c r="I60" s="146">
        <v>0.72727272727272696</v>
      </c>
      <c r="J60" s="146">
        <v>0.27272727272727298</v>
      </c>
      <c r="K60" s="146">
        <v>0.45454545454545497</v>
      </c>
      <c r="L60" s="146">
        <v>0.57253811422947898</v>
      </c>
      <c r="M60" s="146">
        <v>0.22739839815171201</v>
      </c>
      <c r="N60" s="146">
        <v>0.345139716077767</v>
      </c>
      <c r="O60" s="146">
        <v>0.36842105263157898</v>
      </c>
      <c r="P60" s="146">
        <v>3.0075187969924699E-2</v>
      </c>
      <c r="Q60" s="147">
        <v>0.33834586466165401</v>
      </c>
    </row>
    <row r="61" spans="2:17" ht="15" customHeight="1" x14ac:dyDescent="0.35">
      <c r="B61" s="140">
        <v>58</v>
      </c>
      <c r="C61" s="135" t="s">
        <v>1888</v>
      </c>
      <c r="D61" s="135" t="s">
        <v>1900</v>
      </c>
      <c r="E61" s="135" t="s">
        <v>1889</v>
      </c>
      <c r="F61" s="135" t="s">
        <v>1896</v>
      </c>
      <c r="G61" s="135" t="s">
        <v>1931</v>
      </c>
      <c r="H61" s="135" t="s">
        <v>1897</v>
      </c>
      <c r="I61" s="146">
        <v>0.79166666666666696</v>
      </c>
      <c r="J61" s="146">
        <v>0.33333333333333298</v>
      </c>
      <c r="K61" s="146">
        <v>0.45833333333333298</v>
      </c>
      <c r="L61" s="146">
        <v>0.69169479013714197</v>
      </c>
      <c r="M61" s="146">
        <v>0.30415734986040299</v>
      </c>
      <c r="N61" s="146">
        <v>0.38753744027673898</v>
      </c>
      <c r="O61" s="146">
        <v>0.42402826855123699</v>
      </c>
      <c r="P61" s="146">
        <v>6.3604240282685506E-2</v>
      </c>
      <c r="Q61" s="147">
        <v>0.36042402826855102</v>
      </c>
    </row>
    <row r="62" spans="2:17" ht="15" customHeight="1" x14ac:dyDescent="0.35">
      <c r="B62" s="140">
        <v>59</v>
      </c>
      <c r="C62" s="135" t="s">
        <v>1888</v>
      </c>
      <c r="D62" s="135" t="s">
        <v>1901</v>
      </c>
      <c r="E62" s="135" t="s">
        <v>1889</v>
      </c>
      <c r="F62" s="135" t="s">
        <v>1896</v>
      </c>
      <c r="G62" s="135" t="s">
        <v>1931</v>
      </c>
      <c r="H62" s="135" t="s">
        <v>1897</v>
      </c>
      <c r="I62" s="146">
        <v>0.76190476190476197</v>
      </c>
      <c r="J62" s="146">
        <v>0.38095238095238099</v>
      </c>
      <c r="K62" s="146">
        <v>0.38095238095238099</v>
      </c>
      <c r="L62" s="146">
        <v>0.68311346365220804</v>
      </c>
      <c r="M62" s="146">
        <v>0.35060183318635402</v>
      </c>
      <c r="N62" s="146">
        <v>0.33251163046585402</v>
      </c>
      <c r="O62" s="146">
        <v>0.58646616541353402</v>
      </c>
      <c r="P62" s="146">
        <v>0.466165413533835</v>
      </c>
      <c r="Q62" s="147">
        <v>0.12030075187969901</v>
      </c>
    </row>
    <row r="63" spans="2:17" ht="15" customHeight="1" x14ac:dyDescent="0.35">
      <c r="B63" s="140">
        <v>60</v>
      </c>
      <c r="C63" s="135" t="s">
        <v>1888</v>
      </c>
      <c r="D63" s="135" t="s">
        <v>1902</v>
      </c>
      <c r="E63" s="135" t="s">
        <v>1889</v>
      </c>
      <c r="F63" s="135" t="s">
        <v>1896</v>
      </c>
      <c r="G63" s="135" t="s">
        <v>1931</v>
      </c>
      <c r="H63" s="135" t="s">
        <v>1897</v>
      </c>
      <c r="I63" s="146">
        <v>0.57894736842105299</v>
      </c>
      <c r="J63" s="146">
        <v>0.105263157894737</v>
      </c>
      <c r="K63" s="146">
        <v>0.47368421052631599</v>
      </c>
      <c r="L63" s="146">
        <v>0.46464641063963202</v>
      </c>
      <c r="M63" s="146">
        <v>8.9419266648666201E-2</v>
      </c>
      <c r="N63" s="146">
        <v>0.37522714399096602</v>
      </c>
      <c r="O63" s="146">
        <v>0.25652173913043502</v>
      </c>
      <c r="P63" s="146">
        <v>8.6956521739129204E-3</v>
      </c>
      <c r="Q63" s="147">
        <v>0.247826086956522</v>
      </c>
    </row>
    <row r="64" spans="2:17" ht="15" customHeight="1" x14ac:dyDescent="0.35">
      <c r="B64" s="140">
        <v>61</v>
      </c>
      <c r="C64" s="135" t="s">
        <v>1892</v>
      </c>
      <c r="D64" s="135" t="s">
        <v>1895</v>
      </c>
      <c r="E64" s="135" t="s">
        <v>1889</v>
      </c>
      <c r="F64" s="135" t="s">
        <v>1896</v>
      </c>
      <c r="G64" s="135" t="s">
        <v>1931</v>
      </c>
      <c r="H64" s="135" t="s">
        <v>1897</v>
      </c>
      <c r="I64" s="146">
        <v>0.66666666666666696</v>
      </c>
      <c r="J64" s="146">
        <v>0.19047619047618999</v>
      </c>
      <c r="K64" s="146">
        <v>0.476190476190476</v>
      </c>
      <c r="L64" s="146">
        <v>0.55873519186937703</v>
      </c>
      <c r="M64" s="146">
        <v>0.23453852664616401</v>
      </c>
      <c r="N64" s="146">
        <v>0.324196665223213</v>
      </c>
      <c r="O64" s="146">
        <v>0.48161764705882298</v>
      </c>
      <c r="P64" s="146">
        <v>0.11764705882352899</v>
      </c>
      <c r="Q64" s="147">
        <v>0.36397058823529399</v>
      </c>
    </row>
    <row r="65" spans="2:17" ht="15" customHeight="1" x14ac:dyDescent="0.35">
      <c r="B65" s="140">
        <v>62</v>
      </c>
      <c r="C65" s="135" t="s">
        <v>1892</v>
      </c>
      <c r="D65" s="135" t="s">
        <v>1898</v>
      </c>
      <c r="E65" s="135" t="s">
        <v>1889</v>
      </c>
      <c r="F65" s="135" t="s">
        <v>1896</v>
      </c>
      <c r="G65" s="135" t="s">
        <v>1931</v>
      </c>
      <c r="H65" s="135" t="s">
        <v>1897</v>
      </c>
      <c r="I65" s="146">
        <v>0.72727272727272696</v>
      </c>
      <c r="J65" s="146">
        <v>0.27272727272727298</v>
      </c>
      <c r="K65" s="146">
        <v>0.45454545454545497</v>
      </c>
      <c r="L65" s="146">
        <v>0.56663941622714997</v>
      </c>
      <c r="M65" s="146">
        <v>0.28277913551745798</v>
      </c>
      <c r="N65" s="146">
        <v>0.28386028070969199</v>
      </c>
      <c r="O65" s="146">
        <v>0.45387453874538702</v>
      </c>
      <c r="P65" s="146">
        <v>6.6420664206642097E-2</v>
      </c>
      <c r="Q65" s="147">
        <v>0.38745387453874502</v>
      </c>
    </row>
    <row r="66" spans="2:17" ht="15" customHeight="1" x14ac:dyDescent="0.35">
      <c r="B66" s="140">
        <v>63</v>
      </c>
      <c r="C66" s="135" t="s">
        <v>1892</v>
      </c>
      <c r="D66" s="135" t="s">
        <v>1900</v>
      </c>
      <c r="E66" s="135" t="s">
        <v>1889</v>
      </c>
      <c r="F66" s="135" t="s">
        <v>1896</v>
      </c>
      <c r="G66" s="135" t="s">
        <v>1931</v>
      </c>
      <c r="H66" s="135" t="s">
        <v>1897</v>
      </c>
      <c r="I66" s="146">
        <v>0.79166666666666696</v>
      </c>
      <c r="J66" s="146">
        <v>0.33333333333333298</v>
      </c>
      <c r="K66" s="146">
        <v>0.45833333333333298</v>
      </c>
      <c r="L66" s="146">
        <v>0.62165426670773205</v>
      </c>
      <c r="M66" s="146">
        <v>0.27194160938300099</v>
      </c>
      <c r="N66" s="146">
        <v>0.349712657324731</v>
      </c>
      <c r="O66" s="146">
        <v>0.50347222222222199</v>
      </c>
      <c r="P66" s="146">
        <v>9.7222222222222293E-2</v>
      </c>
      <c r="Q66" s="147">
        <v>0.40625</v>
      </c>
    </row>
    <row r="67" spans="2:17" ht="15" customHeight="1" x14ac:dyDescent="0.35">
      <c r="B67" s="140">
        <v>64</v>
      </c>
      <c r="C67" s="135" t="s">
        <v>1892</v>
      </c>
      <c r="D67" s="135" t="s">
        <v>1901</v>
      </c>
      <c r="E67" s="135" t="s">
        <v>1889</v>
      </c>
      <c r="F67" s="135" t="s">
        <v>1896</v>
      </c>
      <c r="G67" s="135" t="s">
        <v>1931</v>
      </c>
      <c r="H67" s="135" t="s">
        <v>1897</v>
      </c>
      <c r="I67" s="146">
        <v>0.76190476190476197</v>
      </c>
      <c r="J67" s="146">
        <v>0.38095238095238099</v>
      </c>
      <c r="K67" s="146">
        <v>0.38095238095238099</v>
      </c>
      <c r="L67" s="146">
        <v>0.70590052181377305</v>
      </c>
      <c r="M67" s="146">
        <v>0.43546559021236197</v>
      </c>
      <c r="N67" s="146">
        <v>0.27043493160141202</v>
      </c>
      <c r="O67" s="146">
        <v>0.70609318996415804</v>
      </c>
      <c r="P67" s="146">
        <v>0.53763440860215095</v>
      </c>
      <c r="Q67" s="147">
        <v>0.16845878136200701</v>
      </c>
    </row>
    <row r="68" spans="2:17" ht="15" customHeight="1" x14ac:dyDescent="0.35">
      <c r="B68" s="140">
        <v>65</v>
      </c>
      <c r="C68" s="135" t="s">
        <v>1892</v>
      </c>
      <c r="D68" s="135" t="s">
        <v>1902</v>
      </c>
      <c r="E68" s="135" t="s">
        <v>1889</v>
      </c>
      <c r="F68" s="135" t="s">
        <v>1896</v>
      </c>
      <c r="G68" s="135" t="s">
        <v>1931</v>
      </c>
      <c r="H68" s="135" t="s">
        <v>1897</v>
      </c>
      <c r="I68" s="146">
        <v>0.71428571428571397</v>
      </c>
      <c r="J68" s="146">
        <v>0.28571428571428598</v>
      </c>
      <c r="K68" s="146">
        <v>0.42857142857142899</v>
      </c>
      <c r="L68" s="146">
        <v>0.52042707962492096</v>
      </c>
      <c r="M68" s="146">
        <v>0.22348030453422699</v>
      </c>
      <c r="N68" s="146">
        <v>0.296946775090694</v>
      </c>
      <c r="O68" s="146">
        <v>0.430894308943089</v>
      </c>
      <c r="P68" s="146">
        <v>0.138211382113821</v>
      </c>
      <c r="Q68" s="147">
        <v>0.292682926829268</v>
      </c>
    </row>
    <row r="69" spans="2:17" ht="15" customHeight="1" x14ac:dyDescent="0.35">
      <c r="B69" s="140">
        <v>66</v>
      </c>
      <c r="C69" s="135" t="s">
        <v>1893</v>
      </c>
      <c r="D69" s="135" t="s">
        <v>1895</v>
      </c>
      <c r="E69" s="135" t="s">
        <v>1889</v>
      </c>
      <c r="F69" s="135" t="s">
        <v>1896</v>
      </c>
      <c r="G69" s="135" t="s">
        <v>1931</v>
      </c>
      <c r="H69" s="135" t="s">
        <v>1897</v>
      </c>
      <c r="I69" s="146">
        <v>0.66666666666666696</v>
      </c>
      <c r="J69" s="146">
        <v>0.19047619047618999</v>
      </c>
      <c r="K69" s="146">
        <v>0.476190476190476</v>
      </c>
      <c r="L69" s="146">
        <v>0.55635587736413195</v>
      </c>
      <c r="M69" s="146">
        <v>0.160692935271911</v>
      </c>
      <c r="N69" s="146">
        <v>0.39566294209222103</v>
      </c>
      <c r="O69" s="146">
        <v>0.41605839416058399</v>
      </c>
      <c r="P69" s="146">
        <v>0.13138686131386901</v>
      </c>
      <c r="Q69" s="147">
        <v>0.28467153284671498</v>
      </c>
    </row>
    <row r="70" spans="2:17" ht="15" customHeight="1" x14ac:dyDescent="0.35">
      <c r="B70" s="140">
        <v>67</v>
      </c>
      <c r="C70" s="135" t="s">
        <v>1893</v>
      </c>
      <c r="D70" s="135" t="s">
        <v>1898</v>
      </c>
      <c r="E70" s="135" t="s">
        <v>1889</v>
      </c>
      <c r="F70" s="135" t="s">
        <v>1896</v>
      </c>
      <c r="G70" s="135" t="s">
        <v>1931</v>
      </c>
      <c r="H70" s="135" t="s">
        <v>1897</v>
      </c>
      <c r="I70" s="146">
        <v>0.78260869565217395</v>
      </c>
      <c r="J70" s="146">
        <v>0.34782608695652201</v>
      </c>
      <c r="K70" s="146">
        <v>0.434782608695652</v>
      </c>
      <c r="L70" s="146">
        <v>0.63834716444282302</v>
      </c>
      <c r="M70" s="146">
        <v>0.300888994134132</v>
      </c>
      <c r="N70" s="146">
        <v>0.33745817030869102</v>
      </c>
      <c r="O70" s="146">
        <v>0.39416058394160602</v>
      </c>
      <c r="P70" s="146">
        <v>8.7591240875912399E-2</v>
      </c>
      <c r="Q70" s="147">
        <v>0.306569343065693</v>
      </c>
    </row>
    <row r="71" spans="2:17" ht="15" customHeight="1" x14ac:dyDescent="0.35">
      <c r="B71" s="140">
        <v>68</v>
      </c>
      <c r="C71" s="135" t="s">
        <v>1893</v>
      </c>
      <c r="D71" s="135" t="s">
        <v>1900</v>
      </c>
      <c r="E71" s="135" t="s">
        <v>1889</v>
      </c>
      <c r="F71" s="135" t="s">
        <v>1896</v>
      </c>
      <c r="G71" s="135" t="s">
        <v>1931</v>
      </c>
      <c r="H71" s="135" t="s">
        <v>1897</v>
      </c>
      <c r="I71" s="146">
        <v>0.73913043478260898</v>
      </c>
      <c r="J71" s="146">
        <v>0.26086956521739102</v>
      </c>
      <c r="K71" s="146">
        <v>0.47826086956521702</v>
      </c>
      <c r="L71" s="146">
        <v>0.65945628081052698</v>
      </c>
      <c r="M71" s="146">
        <v>0.25452155100689899</v>
      </c>
      <c r="N71" s="146">
        <v>0.40493472980362699</v>
      </c>
      <c r="O71" s="146">
        <v>0.37992831541218602</v>
      </c>
      <c r="P71" s="146">
        <v>3.5842293906810103E-2</v>
      </c>
      <c r="Q71" s="147">
        <v>0.34408602150537598</v>
      </c>
    </row>
    <row r="72" spans="2:17" ht="15" customHeight="1" x14ac:dyDescent="0.35">
      <c r="B72" s="140">
        <v>69</v>
      </c>
      <c r="C72" s="135" t="s">
        <v>1893</v>
      </c>
      <c r="D72" s="135" t="s">
        <v>1901</v>
      </c>
      <c r="E72" s="135" t="s">
        <v>1889</v>
      </c>
      <c r="F72" s="135" t="s">
        <v>1896</v>
      </c>
      <c r="G72" s="135" t="s">
        <v>1931</v>
      </c>
      <c r="H72" s="135" t="s">
        <v>1897</v>
      </c>
      <c r="I72" s="146">
        <v>0.76190476190476197</v>
      </c>
      <c r="J72" s="146">
        <v>0.38095238095238099</v>
      </c>
      <c r="K72" s="146">
        <v>0.38095238095238099</v>
      </c>
      <c r="L72" s="146">
        <v>0.69790069769308904</v>
      </c>
      <c r="M72" s="146">
        <v>0.36129743869169301</v>
      </c>
      <c r="N72" s="146">
        <v>0.33660325900139598</v>
      </c>
      <c r="O72" s="146">
        <v>0.58518518518518503</v>
      </c>
      <c r="P72" s="146">
        <v>0.48888888888888898</v>
      </c>
      <c r="Q72" s="147">
        <v>9.6296296296296199E-2</v>
      </c>
    </row>
    <row r="73" spans="2:17" ht="15" customHeight="1" x14ac:dyDescent="0.35">
      <c r="B73" s="140">
        <v>70</v>
      </c>
      <c r="C73" s="135" t="s">
        <v>1893</v>
      </c>
      <c r="D73" s="135" t="s">
        <v>1902</v>
      </c>
      <c r="E73" s="135" t="s">
        <v>1889</v>
      </c>
      <c r="F73" s="135" t="s">
        <v>1896</v>
      </c>
      <c r="G73" s="135" t="s">
        <v>1931</v>
      </c>
      <c r="H73" s="135" t="s">
        <v>1897</v>
      </c>
      <c r="I73" s="146">
        <v>0.71428571428571397</v>
      </c>
      <c r="J73" s="146">
        <v>0.28571428571428598</v>
      </c>
      <c r="K73" s="146">
        <v>0.42857142857142899</v>
      </c>
      <c r="L73" s="146">
        <v>0.59539344032005703</v>
      </c>
      <c r="M73" s="146">
        <v>0.24364154877198299</v>
      </c>
      <c r="N73" s="146">
        <v>0.35175189154807301</v>
      </c>
      <c r="O73" s="146">
        <v>0.358870967741935</v>
      </c>
      <c r="P73" s="146">
        <v>0.15322580645161299</v>
      </c>
      <c r="Q73" s="147">
        <v>0.20564516129032301</v>
      </c>
    </row>
    <row r="74" spans="2:17" ht="15" customHeight="1" x14ac:dyDescent="0.35">
      <c r="B74" s="140">
        <v>71</v>
      </c>
      <c r="C74" s="135" t="s">
        <v>1894</v>
      </c>
      <c r="D74" s="135" t="s">
        <v>1895</v>
      </c>
      <c r="E74" s="135" t="s">
        <v>1889</v>
      </c>
      <c r="F74" s="135" t="s">
        <v>1896</v>
      </c>
      <c r="G74" s="135" t="s">
        <v>1931</v>
      </c>
      <c r="H74" s="135" t="s">
        <v>1897</v>
      </c>
      <c r="I74" s="146">
        <v>0.69565217391304301</v>
      </c>
      <c r="J74" s="146">
        <v>0.34782608695652201</v>
      </c>
      <c r="K74" s="146">
        <v>0.34782608695652201</v>
      </c>
      <c r="L74" s="146">
        <v>0.49081913241851799</v>
      </c>
      <c r="M74" s="146">
        <v>0.20517722684942299</v>
      </c>
      <c r="N74" s="146">
        <v>0.28564190556909502</v>
      </c>
      <c r="O74" s="146">
        <v>0.42446043165467601</v>
      </c>
      <c r="P74" s="146">
        <v>0.15827338129496399</v>
      </c>
      <c r="Q74" s="147">
        <v>0.26618705035971202</v>
      </c>
    </row>
    <row r="75" spans="2:17" ht="15" customHeight="1" x14ac:dyDescent="0.35">
      <c r="B75" s="140">
        <v>72</v>
      </c>
      <c r="C75" s="135" t="s">
        <v>1894</v>
      </c>
      <c r="D75" s="135" t="s">
        <v>1898</v>
      </c>
      <c r="E75" s="135" t="s">
        <v>1889</v>
      </c>
      <c r="F75" s="135" t="s">
        <v>1896</v>
      </c>
      <c r="G75" s="135" t="s">
        <v>1931</v>
      </c>
      <c r="H75" s="135" t="s">
        <v>1897</v>
      </c>
      <c r="I75" s="146">
        <v>0.75</v>
      </c>
      <c r="J75" s="146">
        <v>0.41666666666666702</v>
      </c>
      <c r="K75" s="146">
        <v>0.33333333333333298</v>
      </c>
      <c r="L75" s="146">
        <v>0.51432858537387804</v>
      </c>
      <c r="M75" s="146">
        <v>0.27368288281028103</v>
      </c>
      <c r="N75" s="146">
        <v>0.24064570256359799</v>
      </c>
      <c r="O75" s="146">
        <v>0.39711191335740098</v>
      </c>
      <c r="P75" s="146">
        <v>0.10830324909747301</v>
      </c>
      <c r="Q75" s="147">
        <v>0.28880866425992802</v>
      </c>
    </row>
    <row r="76" spans="2:17" ht="15" customHeight="1" x14ac:dyDescent="0.35">
      <c r="B76" s="140">
        <v>73</v>
      </c>
      <c r="C76" s="135" t="s">
        <v>1894</v>
      </c>
      <c r="D76" s="135" t="s">
        <v>1900</v>
      </c>
      <c r="E76" s="135" t="s">
        <v>1889</v>
      </c>
      <c r="F76" s="135" t="s">
        <v>1896</v>
      </c>
      <c r="G76" s="135" t="s">
        <v>1931</v>
      </c>
      <c r="H76" s="135" t="s">
        <v>1897</v>
      </c>
      <c r="I76" s="146">
        <v>0.70833333333333304</v>
      </c>
      <c r="J76" s="146">
        <v>0.33333333333333298</v>
      </c>
      <c r="K76" s="146">
        <v>0.375</v>
      </c>
      <c r="L76" s="146">
        <v>0.53261927427175604</v>
      </c>
      <c r="M76" s="146">
        <v>0.21195384742680401</v>
      </c>
      <c r="N76" s="146">
        <v>0.32066542684495097</v>
      </c>
      <c r="O76" s="146">
        <v>0.38297872340425498</v>
      </c>
      <c r="P76" s="146">
        <v>5.6737588652482303E-2</v>
      </c>
      <c r="Q76" s="147">
        <v>0.32624113475177302</v>
      </c>
    </row>
    <row r="77" spans="2:17" ht="15" customHeight="1" x14ac:dyDescent="0.35">
      <c r="B77" s="140">
        <v>74</v>
      </c>
      <c r="C77" s="135" t="s">
        <v>1894</v>
      </c>
      <c r="D77" s="135" t="s">
        <v>1901</v>
      </c>
      <c r="E77" s="135" t="s">
        <v>1889</v>
      </c>
      <c r="F77" s="135" t="s">
        <v>1896</v>
      </c>
      <c r="G77" s="135" t="s">
        <v>1931</v>
      </c>
      <c r="H77" s="135" t="s">
        <v>1897</v>
      </c>
      <c r="I77" s="146">
        <v>0.83333333333333304</v>
      </c>
      <c r="J77" s="146">
        <v>0.58333333333333304</v>
      </c>
      <c r="K77" s="146">
        <v>0.25</v>
      </c>
      <c r="L77" s="146">
        <v>0.728806815824254</v>
      </c>
      <c r="M77" s="146">
        <v>0.50880500834632503</v>
      </c>
      <c r="N77" s="146">
        <v>0.220001807477929</v>
      </c>
      <c r="O77" s="146">
        <v>0.65034965034964998</v>
      </c>
      <c r="P77" s="146">
        <v>0.57342657342657299</v>
      </c>
      <c r="Q77" s="147">
        <v>7.6923076923076802E-2</v>
      </c>
    </row>
    <row r="78" spans="2:17" ht="15" customHeight="1" x14ac:dyDescent="0.35">
      <c r="B78" s="140">
        <v>75</v>
      </c>
      <c r="C78" s="135" t="s">
        <v>1894</v>
      </c>
      <c r="D78" s="135" t="s">
        <v>1902</v>
      </c>
      <c r="E78" s="135" t="s">
        <v>1889</v>
      </c>
      <c r="F78" s="135" t="s">
        <v>1896</v>
      </c>
      <c r="G78" s="135" t="s">
        <v>1931</v>
      </c>
      <c r="H78" s="135" t="s">
        <v>1897</v>
      </c>
      <c r="I78" s="146">
        <v>0.68181818181818199</v>
      </c>
      <c r="J78" s="146">
        <v>0.36363636363636398</v>
      </c>
      <c r="K78" s="146">
        <v>0.31818181818181801</v>
      </c>
      <c r="L78" s="146">
        <v>0.53104561291860997</v>
      </c>
      <c r="M78" s="146">
        <v>0.28914807246462199</v>
      </c>
      <c r="N78" s="146">
        <v>0.24189754045398801</v>
      </c>
      <c r="O78" s="146">
        <v>0.36254980079681298</v>
      </c>
      <c r="P78" s="146">
        <v>0.17529880478087601</v>
      </c>
      <c r="Q78" s="147">
        <v>0.18725099601593601</v>
      </c>
    </row>
    <row r="79" spans="2:17" ht="15" customHeight="1" x14ac:dyDescent="0.35">
      <c r="B79" s="140">
        <v>76</v>
      </c>
      <c r="C79" s="1" t="s">
        <v>1887</v>
      </c>
      <c r="D79" s="1" t="s">
        <v>1903</v>
      </c>
      <c r="E79" s="1" t="s">
        <v>1889</v>
      </c>
      <c r="F79" s="1" t="s">
        <v>1904</v>
      </c>
      <c r="G79" s="1" t="s">
        <v>1932</v>
      </c>
      <c r="H79" s="1" t="s">
        <v>1897</v>
      </c>
      <c r="I79" s="144">
        <v>0.88888888888888895</v>
      </c>
      <c r="J79" s="144">
        <v>0.55555555555555602</v>
      </c>
      <c r="K79" s="144">
        <v>0.33333333333333298</v>
      </c>
      <c r="L79" s="144">
        <v>0.74951008966669597</v>
      </c>
      <c r="M79" s="144">
        <v>0.54020191045708199</v>
      </c>
      <c r="N79" s="144">
        <v>0.209308179209614</v>
      </c>
      <c r="O79" s="144">
        <v>0.68582375478927204</v>
      </c>
      <c r="P79" s="144">
        <v>0.51340996168582398</v>
      </c>
      <c r="Q79" s="145">
        <v>0.17241379310344801</v>
      </c>
    </row>
    <row r="80" spans="2:17" ht="15" customHeight="1" x14ac:dyDescent="0.35">
      <c r="B80" s="140">
        <v>77</v>
      </c>
      <c r="C80" s="1" t="s">
        <v>1887</v>
      </c>
      <c r="D80" s="1" t="s">
        <v>1906</v>
      </c>
      <c r="E80" s="1" t="s">
        <v>1889</v>
      </c>
      <c r="F80" s="1" t="s">
        <v>1904</v>
      </c>
      <c r="G80" s="1" t="s">
        <v>1932</v>
      </c>
      <c r="H80" s="1" t="s">
        <v>1897</v>
      </c>
      <c r="I80" s="144">
        <v>0.85</v>
      </c>
      <c r="J80" s="144">
        <v>0.4</v>
      </c>
      <c r="K80" s="144">
        <v>0.45</v>
      </c>
      <c r="L80" s="144">
        <v>0.71461537969838396</v>
      </c>
      <c r="M80" s="144">
        <v>0.39491699765042498</v>
      </c>
      <c r="N80" s="144">
        <v>0.31969838204795897</v>
      </c>
      <c r="O80" s="144">
        <v>0.51119402985074602</v>
      </c>
      <c r="P80" s="144">
        <v>0.134328358208955</v>
      </c>
      <c r="Q80" s="145">
        <v>0.37686567164179102</v>
      </c>
    </row>
    <row r="81" spans="2:17" ht="15" customHeight="1" x14ac:dyDescent="0.35">
      <c r="B81" s="140">
        <v>78</v>
      </c>
      <c r="C81" s="1" t="s">
        <v>1887</v>
      </c>
      <c r="D81" s="1" t="s">
        <v>1908</v>
      </c>
      <c r="E81" s="1" t="s">
        <v>1889</v>
      </c>
      <c r="F81" s="1" t="s">
        <v>1904</v>
      </c>
      <c r="G81" s="1" t="s">
        <v>1932</v>
      </c>
      <c r="H81" s="1" t="s">
        <v>1897</v>
      </c>
      <c r="I81" s="144">
        <v>0.8125</v>
      </c>
      <c r="J81" s="144">
        <v>0.5</v>
      </c>
      <c r="K81" s="144">
        <v>0.3125</v>
      </c>
      <c r="L81" s="144">
        <v>0.67794317397015602</v>
      </c>
      <c r="M81" s="144">
        <v>0.50660916103107101</v>
      </c>
      <c r="N81" s="144">
        <v>0.17133401293908501</v>
      </c>
      <c r="O81" s="144">
        <v>0.66926070038910501</v>
      </c>
      <c r="P81" s="144">
        <v>0.49805447470817099</v>
      </c>
      <c r="Q81" s="145">
        <v>0.17120622568093399</v>
      </c>
    </row>
    <row r="82" spans="2:17" ht="15" customHeight="1" x14ac:dyDescent="0.35">
      <c r="B82" s="140">
        <v>79</v>
      </c>
      <c r="C82" s="1" t="s">
        <v>1887</v>
      </c>
      <c r="D82" s="1" t="s">
        <v>1909</v>
      </c>
      <c r="E82" s="1" t="s">
        <v>1889</v>
      </c>
      <c r="F82" s="1" t="s">
        <v>1904</v>
      </c>
      <c r="G82" s="1" t="s">
        <v>1932</v>
      </c>
      <c r="H82" s="1" t="s">
        <v>1897</v>
      </c>
      <c r="I82" s="144">
        <v>0.85</v>
      </c>
      <c r="J82" s="144">
        <v>0.4</v>
      </c>
      <c r="K82" s="144">
        <v>0.45</v>
      </c>
      <c r="L82" s="144">
        <v>0.64739569232971605</v>
      </c>
      <c r="M82" s="144">
        <v>0.31247313567472401</v>
      </c>
      <c r="N82" s="144">
        <v>0.33492255665499099</v>
      </c>
      <c r="O82" s="144">
        <v>0.69090909090909103</v>
      </c>
      <c r="P82" s="144">
        <v>0.46545454545454501</v>
      </c>
      <c r="Q82" s="145">
        <v>0.22545454545454599</v>
      </c>
    </row>
    <row r="83" spans="2:17" ht="15" customHeight="1" x14ac:dyDescent="0.35">
      <c r="B83" s="140">
        <v>80</v>
      </c>
      <c r="C83" s="1" t="s">
        <v>1887</v>
      </c>
      <c r="D83" s="1" t="s">
        <v>1910</v>
      </c>
      <c r="E83" s="1" t="s">
        <v>1889</v>
      </c>
      <c r="F83" s="1" t="s">
        <v>1904</v>
      </c>
      <c r="G83" s="1" t="s">
        <v>1932</v>
      </c>
      <c r="H83" s="1" t="s">
        <v>1897</v>
      </c>
      <c r="I83" s="144">
        <v>0.85714285714285698</v>
      </c>
      <c r="J83" s="144">
        <v>0.38095238095238099</v>
      </c>
      <c r="K83" s="144">
        <v>0.476190476190476</v>
      </c>
      <c r="L83" s="144">
        <v>0.71943157288429704</v>
      </c>
      <c r="M83" s="144">
        <v>0.38825231981643599</v>
      </c>
      <c r="N83" s="144">
        <v>0.33117925306786</v>
      </c>
      <c r="O83" s="144">
        <v>0.51660516605166096</v>
      </c>
      <c r="P83" s="144">
        <v>0.132841328413284</v>
      </c>
      <c r="Q83" s="145">
        <v>0.38376383763837602</v>
      </c>
    </row>
    <row r="84" spans="2:17" ht="15" customHeight="1" x14ac:dyDescent="0.35">
      <c r="B84" s="140">
        <v>81</v>
      </c>
      <c r="C84" s="1" t="s">
        <v>1888</v>
      </c>
      <c r="D84" s="1" t="s">
        <v>1903</v>
      </c>
      <c r="E84" s="1" t="s">
        <v>1889</v>
      </c>
      <c r="F84" s="1" t="s">
        <v>1904</v>
      </c>
      <c r="G84" s="1" t="s">
        <v>1932</v>
      </c>
      <c r="H84" s="1" t="s">
        <v>1897</v>
      </c>
      <c r="I84" s="144">
        <v>0.77777777777777801</v>
      </c>
      <c r="J84" s="144">
        <v>0.55555555555555602</v>
      </c>
      <c r="K84" s="144">
        <v>0.22222222222222199</v>
      </c>
      <c r="L84" s="144">
        <v>0.625763195761042</v>
      </c>
      <c r="M84" s="144">
        <v>0.44425908255090402</v>
      </c>
      <c r="N84" s="144">
        <v>0.18150411321013701</v>
      </c>
      <c r="O84" s="144">
        <v>0.52419354838709697</v>
      </c>
      <c r="P84" s="144">
        <v>0.43548387096774199</v>
      </c>
      <c r="Q84" s="145">
        <v>8.8709677419354802E-2</v>
      </c>
    </row>
    <row r="85" spans="2:17" ht="15" customHeight="1" x14ac:dyDescent="0.35">
      <c r="B85" s="140">
        <v>82</v>
      </c>
      <c r="C85" s="1" t="s">
        <v>1888</v>
      </c>
      <c r="D85" s="1" t="s">
        <v>1906</v>
      </c>
      <c r="E85" s="1" t="s">
        <v>1889</v>
      </c>
      <c r="F85" s="1" t="s">
        <v>1904</v>
      </c>
      <c r="G85" s="1" t="s">
        <v>1932</v>
      </c>
      <c r="H85" s="1" t="s">
        <v>1897</v>
      </c>
      <c r="I85" s="144">
        <v>0.75</v>
      </c>
      <c r="J85" s="144">
        <v>0.4</v>
      </c>
      <c r="K85" s="144">
        <v>0.35</v>
      </c>
      <c r="L85" s="144">
        <v>0.56890967349097399</v>
      </c>
      <c r="M85" s="144">
        <v>0.26188103430563803</v>
      </c>
      <c r="N85" s="144">
        <v>0.30702863918533602</v>
      </c>
      <c r="O85" s="144">
        <v>0.34509803921568599</v>
      </c>
      <c r="P85" s="144">
        <v>3.9215686274509901E-2</v>
      </c>
      <c r="Q85" s="145">
        <v>0.30588235294117599</v>
      </c>
    </row>
    <row r="86" spans="2:17" ht="15" customHeight="1" x14ac:dyDescent="0.35">
      <c r="B86" s="140">
        <v>83</v>
      </c>
      <c r="C86" s="1" t="s">
        <v>1888</v>
      </c>
      <c r="D86" s="1" t="s">
        <v>1908</v>
      </c>
      <c r="E86" s="1" t="s">
        <v>1889</v>
      </c>
      <c r="F86" s="1" t="s">
        <v>1904</v>
      </c>
      <c r="G86" s="1" t="s">
        <v>1932</v>
      </c>
      <c r="H86" s="1" t="s">
        <v>1897</v>
      </c>
      <c r="I86" s="144">
        <v>0.6875</v>
      </c>
      <c r="J86" s="144">
        <v>0.5</v>
      </c>
      <c r="K86" s="144">
        <v>0.1875</v>
      </c>
      <c r="L86" s="144">
        <v>0.53499011686200904</v>
      </c>
      <c r="M86" s="144">
        <v>0.39737692707363698</v>
      </c>
      <c r="N86" s="144">
        <v>0.137613189788372</v>
      </c>
      <c r="O86" s="144">
        <v>0.50409836065573799</v>
      </c>
      <c r="P86" s="144">
        <v>0.41803278688524598</v>
      </c>
      <c r="Q86" s="145">
        <v>8.6065573770491899E-2</v>
      </c>
    </row>
    <row r="87" spans="2:17" ht="15" customHeight="1" x14ac:dyDescent="0.35">
      <c r="B87" s="140">
        <v>84</v>
      </c>
      <c r="C87" s="1" t="s">
        <v>1888</v>
      </c>
      <c r="D87" s="1" t="s">
        <v>1909</v>
      </c>
      <c r="E87" s="1" t="s">
        <v>1889</v>
      </c>
      <c r="F87" s="1" t="s">
        <v>1904</v>
      </c>
      <c r="G87" s="1" t="s">
        <v>1932</v>
      </c>
      <c r="H87" s="1" t="s">
        <v>1897</v>
      </c>
      <c r="I87" s="144">
        <v>0.68421052631578905</v>
      </c>
      <c r="J87" s="144">
        <v>0.31578947368421101</v>
      </c>
      <c r="K87" s="144">
        <v>0.36842105263157898</v>
      </c>
      <c r="L87" s="144">
        <v>0.53203362753690198</v>
      </c>
      <c r="M87" s="144">
        <v>0.218742891590885</v>
      </c>
      <c r="N87" s="144">
        <v>0.31329073594601697</v>
      </c>
      <c r="O87" s="144">
        <v>0.53256704980842895</v>
      </c>
      <c r="P87" s="144">
        <v>0.38314176245210702</v>
      </c>
      <c r="Q87" s="145">
        <v>0.14942528735632199</v>
      </c>
    </row>
    <row r="88" spans="2:17" ht="15" customHeight="1" x14ac:dyDescent="0.35">
      <c r="B88" s="140">
        <v>85</v>
      </c>
      <c r="C88" s="1" t="s">
        <v>1888</v>
      </c>
      <c r="D88" s="1" t="s">
        <v>1910</v>
      </c>
      <c r="E88" s="1" t="s">
        <v>1889</v>
      </c>
      <c r="F88" s="1" t="s">
        <v>1904</v>
      </c>
      <c r="G88" s="1" t="s">
        <v>1932</v>
      </c>
      <c r="H88" s="1" t="s">
        <v>1897</v>
      </c>
      <c r="I88" s="144">
        <v>0.81818181818181801</v>
      </c>
      <c r="J88" s="144">
        <v>0.45454545454545497</v>
      </c>
      <c r="K88" s="144">
        <v>0.36363636363636398</v>
      </c>
      <c r="L88" s="144">
        <v>0.63071689311899903</v>
      </c>
      <c r="M88" s="144">
        <v>0.323157615022865</v>
      </c>
      <c r="N88" s="144">
        <v>0.30755927809613498</v>
      </c>
      <c r="O88" s="144">
        <v>0.35907335907335902</v>
      </c>
      <c r="P88" s="144">
        <v>4.6332046332046302E-2</v>
      </c>
      <c r="Q88" s="145">
        <v>0.312741312741313</v>
      </c>
    </row>
    <row r="89" spans="2:17" ht="15" customHeight="1" x14ac:dyDescent="0.35">
      <c r="B89" s="140">
        <v>86</v>
      </c>
      <c r="C89" s="1" t="s">
        <v>1892</v>
      </c>
      <c r="D89" s="1" t="s">
        <v>1903</v>
      </c>
      <c r="E89" s="1" t="s">
        <v>1889</v>
      </c>
      <c r="F89" s="1" t="s">
        <v>1904</v>
      </c>
      <c r="G89" s="1" t="s">
        <v>1932</v>
      </c>
      <c r="H89" s="1" t="s">
        <v>1897</v>
      </c>
      <c r="I89" s="144">
        <v>0.77777777777777801</v>
      </c>
      <c r="J89" s="144">
        <v>0.55555555555555602</v>
      </c>
      <c r="K89" s="144">
        <v>0.22222222222222199</v>
      </c>
      <c r="L89" s="144">
        <v>0.65661283064332299</v>
      </c>
      <c r="M89" s="144">
        <v>0.54020191045708199</v>
      </c>
      <c r="N89" s="144">
        <v>0.11641092018624</v>
      </c>
      <c r="O89" s="144">
        <v>0.65517241379310298</v>
      </c>
      <c r="P89" s="144">
        <v>0.51340996168582398</v>
      </c>
      <c r="Q89" s="145">
        <v>0.14176245210728</v>
      </c>
    </row>
    <row r="90" spans="2:17" ht="15" customHeight="1" x14ac:dyDescent="0.35">
      <c r="B90" s="140">
        <v>87</v>
      </c>
      <c r="C90" s="1" t="s">
        <v>1892</v>
      </c>
      <c r="D90" s="1" t="s">
        <v>1906</v>
      </c>
      <c r="E90" s="1" t="s">
        <v>1889</v>
      </c>
      <c r="F90" s="1" t="s">
        <v>1904</v>
      </c>
      <c r="G90" s="1" t="s">
        <v>1932</v>
      </c>
      <c r="H90" s="1" t="s">
        <v>1897</v>
      </c>
      <c r="I90" s="144">
        <v>0.86363636363636398</v>
      </c>
      <c r="J90" s="144">
        <v>0.54545454545454497</v>
      </c>
      <c r="K90" s="144">
        <v>0.31818181818181801</v>
      </c>
      <c r="L90" s="144">
        <v>0.71026354776568701</v>
      </c>
      <c r="M90" s="144">
        <v>0.49065643494914501</v>
      </c>
      <c r="N90" s="144">
        <v>0.21960711281654299</v>
      </c>
      <c r="O90" s="144">
        <v>0.49259259259259303</v>
      </c>
      <c r="P90" s="144">
        <v>0.148148148148148</v>
      </c>
      <c r="Q90" s="145">
        <v>0.344444444444444</v>
      </c>
    </row>
    <row r="91" spans="2:17" ht="15" customHeight="1" x14ac:dyDescent="0.35">
      <c r="B91" s="140">
        <v>88</v>
      </c>
      <c r="C91" s="1" t="s">
        <v>1892</v>
      </c>
      <c r="D91" s="1" t="s">
        <v>1908</v>
      </c>
      <c r="E91" s="1" t="s">
        <v>1889</v>
      </c>
      <c r="F91" s="1" t="s">
        <v>1904</v>
      </c>
      <c r="G91" s="1" t="s">
        <v>1932</v>
      </c>
      <c r="H91" s="1" t="s">
        <v>1897</v>
      </c>
      <c r="I91" s="144">
        <v>0.6875</v>
      </c>
      <c r="J91" s="144">
        <v>0.5</v>
      </c>
      <c r="K91" s="144">
        <v>0.1875</v>
      </c>
      <c r="L91" s="144">
        <v>0.57527234136111005</v>
      </c>
      <c r="M91" s="144">
        <v>0.50660916103107101</v>
      </c>
      <c r="N91" s="144">
        <v>6.8663180330039597E-2</v>
      </c>
      <c r="O91" s="144">
        <v>0.63813229571984398</v>
      </c>
      <c r="P91" s="144">
        <v>0.49805447470817099</v>
      </c>
      <c r="Q91" s="145">
        <v>0.14007782101167299</v>
      </c>
    </row>
    <row r="92" spans="2:17" ht="15" customHeight="1" x14ac:dyDescent="0.35">
      <c r="B92" s="140">
        <v>89</v>
      </c>
      <c r="C92" s="1" t="s">
        <v>1892</v>
      </c>
      <c r="D92" s="1" t="s">
        <v>1909</v>
      </c>
      <c r="E92" s="1" t="s">
        <v>1889</v>
      </c>
      <c r="F92" s="1" t="s">
        <v>1904</v>
      </c>
      <c r="G92" s="1" t="s">
        <v>1932</v>
      </c>
      <c r="H92" s="1" t="s">
        <v>1897</v>
      </c>
      <c r="I92" s="144">
        <v>0.75</v>
      </c>
      <c r="J92" s="144">
        <v>0.4</v>
      </c>
      <c r="K92" s="144">
        <v>0.35</v>
      </c>
      <c r="L92" s="144">
        <v>0.55659516980672097</v>
      </c>
      <c r="M92" s="144">
        <v>0.31247313567472401</v>
      </c>
      <c r="N92" s="144">
        <v>0.24412203413199601</v>
      </c>
      <c r="O92" s="144">
        <v>0.66181818181818197</v>
      </c>
      <c r="P92" s="144">
        <v>0.46545454545454501</v>
      </c>
      <c r="Q92" s="145">
        <v>0.19636363636363599</v>
      </c>
    </row>
    <row r="93" spans="2:17" ht="15" customHeight="1" x14ac:dyDescent="0.35">
      <c r="B93" s="140">
        <v>90</v>
      </c>
      <c r="C93" s="1" t="s">
        <v>1892</v>
      </c>
      <c r="D93" s="1" t="s">
        <v>1910</v>
      </c>
      <c r="E93" s="1" t="s">
        <v>1889</v>
      </c>
      <c r="F93" s="1" t="s">
        <v>1904</v>
      </c>
      <c r="G93" s="1" t="s">
        <v>1932</v>
      </c>
      <c r="H93" s="1" t="s">
        <v>1897</v>
      </c>
      <c r="I93" s="144">
        <v>0.81818181818181801</v>
      </c>
      <c r="J93" s="144">
        <v>0.45454545454545497</v>
      </c>
      <c r="K93" s="144">
        <v>0.36363636363636398</v>
      </c>
      <c r="L93" s="144">
        <v>0.64925166809148904</v>
      </c>
      <c r="M93" s="144">
        <v>0.405402285865954</v>
      </c>
      <c r="N93" s="144">
        <v>0.24384938222553501</v>
      </c>
      <c r="O93" s="144">
        <v>0.49264705882352899</v>
      </c>
      <c r="P93" s="144">
        <v>0.13970588235294101</v>
      </c>
      <c r="Q93" s="145">
        <v>0.35294117647058798</v>
      </c>
    </row>
    <row r="94" spans="2:17" ht="15" customHeight="1" x14ac:dyDescent="0.35">
      <c r="B94" s="140">
        <v>91</v>
      </c>
      <c r="C94" s="1" t="s">
        <v>1893</v>
      </c>
      <c r="D94" s="1" t="s">
        <v>1903</v>
      </c>
      <c r="E94" s="1" t="s">
        <v>1889</v>
      </c>
      <c r="F94" s="1" t="s">
        <v>1904</v>
      </c>
      <c r="G94" s="1" t="s">
        <v>1932</v>
      </c>
      <c r="H94" s="1" t="s">
        <v>1897</v>
      </c>
      <c r="I94" s="144">
        <v>0.77777777777777801</v>
      </c>
      <c r="J94" s="144">
        <v>0.55555555555555602</v>
      </c>
      <c r="K94" s="144">
        <v>0.22222222222222199</v>
      </c>
      <c r="L94" s="144">
        <v>0.69116915483030805</v>
      </c>
      <c r="M94" s="144">
        <v>0.51004231440983705</v>
      </c>
      <c r="N94" s="144">
        <v>0.181126840420471</v>
      </c>
      <c r="O94" s="144">
        <v>0.57471264367816099</v>
      </c>
      <c r="P94" s="144">
        <v>0.51340996168582398</v>
      </c>
      <c r="Q94" s="145">
        <v>6.1302681992337203E-2</v>
      </c>
    </row>
    <row r="95" spans="2:17" ht="15" customHeight="1" x14ac:dyDescent="0.35">
      <c r="B95" s="140">
        <v>92</v>
      </c>
      <c r="C95" s="1" t="s">
        <v>1893</v>
      </c>
      <c r="D95" s="1" t="s">
        <v>1906</v>
      </c>
      <c r="E95" s="1" t="s">
        <v>1889</v>
      </c>
      <c r="F95" s="1" t="s">
        <v>1904</v>
      </c>
      <c r="G95" s="1" t="s">
        <v>1932</v>
      </c>
      <c r="H95" s="1" t="s">
        <v>1897</v>
      </c>
      <c r="I95" s="144">
        <v>0.86363636363636398</v>
      </c>
      <c r="J95" s="144">
        <v>0.54545454545454497</v>
      </c>
      <c r="K95" s="144">
        <v>0.31818181818181801</v>
      </c>
      <c r="L95" s="144">
        <v>0.71404934871705605</v>
      </c>
      <c r="M95" s="144">
        <v>0.43028265094528001</v>
      </c>
      <c r="N95" s="144">
        <v>0.28376669777177599</v>
      </c>
      <c r="O95" s="144">
        <v>0.42647058823529399</v>
      </c>
      <c r="P95" s="144">
        <v>0.161764705882353</v>
      </c>
      <c r="Q95" s="145">
        <v>0.26470588235294101</v>
      </c>
    </row>
    <row r="96" spans="2:17" ht="15" customHeight="1" x14ac:dyDescent="0.35">
      <c r="B96" s="140">
        <v>93</v>
      </c>
      <c r="C96" s="1" t="s">
        <v>1893</v>
      </c>
      <c r="D96" s="1" t="s">
        <v>1908</v>
      </c>
      <c r="E96" s="1" t="s">
        <v>1889</v>
      </c>
      <c r="F96" s="1" t="s">
        <v>1904</v>
      </c>
      <c r="G96" s="1" t="s">
        <v>1932</v>
      </c>
      <c r="H96" s="1" t="s">
        <v>1897</v>
      </c>
      <c r="I96" s="144">
        <v>0.76470588235294101</v>
      </c>
      <c r="J96" s="144">
        <v>0.58823529411764697</v>
      </c>
      <c r="K96" s="144">
        <v>0.17647058823529399</v>
      </c>
      <c r="L96" s="144">
        <v>0.67305457092318999</v>
      </c>
      <c r="M96" s="144">
        <v>0.53995902915858895</v>
      </c>
      <c r="N96" s="144">
        <v>0.13309554176460001</v>
      </c>
      <c r="O96" s="144">
        <v>0.57307692307692304</v>
      </c>
      <c r="P96" s="144">
        <v>0.515384615384615</v>
      </c>
      <c r="Q96" s="145">
        <v>5.76923076923078E-2</v>
      </c>
    </row>
    <row r="97" spans="2:17" ht="15" customHeight="1" x14ac:dyDescent="0.35">
      <c r="B97" s="140">
        <v>94</v>
      </c>
      <c r="C97" s="1" t="s">
        <v>1893</v>
      </c>
      <c r="D97" s="1" t="s">
        <v>1909</v>
      </c>
      <c r="E97" s="1" t="s">
        <v>1889</v>
      </c>
      <c r="F97" s="1" t="s">
        <v>1904</v>
      </c>
      <c r="G97" s="1" t="s">
        <v>1932</v>
      </c>
      <c r="H97" s="1" t="s">
        <v>1897</v>
      </c>
      <c r="I97" s="144">
        <v>0.75</v>
      </c>
      <c r="J97" s="144">
        <v>0.4</v>
      </c>
      <c r="K97" s="144">
        <v>0.35</v>
      </c>
      <c r="L97" s="144">
        <v>0.64435780437475298</v>
      </c>
      <c r="M97" s="144">
        <v>0.34673139845725398</v>
      </c>
      <c r="N97" s="144">
        <v>0.297626405917499</v>
      </c>
      <c r="O97" s="144">
        <v>0.595667870036101</v>
      </c>
      <c r="P97" s="144">
        <v>0.47653429602888098</v>
      </c>
      <c r="Q97" s="145">
        <v>0.11913357400721999</v>
      </c>
    </row>
    <row r="98" spans="2:17" ht="15" customHeight="1" x14ac:dyDescent="0.35">
      <c r="B98" s="140">
        <v>95</v>
      </c>
      <c r="C98" s="1" t="s">
        <v>1893</v>
      </c>
      <c r="D98" s="1" t="s">
        <v>1910</v>
      </c>
      <c r="E98" s="1" t="s">
        <v>1889</v>
      </c>
      <c r="F98" s="1" t="s">
        <v>1904</v>
      </c>
      <c r="G98" s="1" t="s">
        <v>1932</v>
      </c>
      <c r="H98" s="1" t="s">
        <v>1897</v>
      </c>
      <c r="I98" s="144">
        <v>0.86956521739130399</v>
      </c>
      <c r="J98" s="144">
        <v>0.52173913043478304</v>
      </c>
      <c r="K98" s="144">
        <v>0.34782608695652201</v>
      </c>
      <c r="L98" s="144">
        <v>0.71748960052153199</v>
      </c>
      <c r="M98" s="144">
        <v>0.421602050328447</v>
      </c>
      <c r="N98" s="144">
        <v>0.29588755019308499</v>
      </c>
      <c r="O98" s="144">
        <v>0.43272727272727302</v>
      </c>
      <c r="P98" s="144">
        <v>0.16</v>
      </c>
      <c r="Q98" s="145">
        <v>0.27272727272727298</v>
      </c>
    </row>
    <row r="99" spans="2:17" ht="15" customHeight="1" x14ac:dyDescent="0.35">
      <c r="B99" s="140">
        <v>96</v>
      </c>
      <c r="C99" s="1" t="s">
        <v>1894</v>
      </c>
      <c r="D99" s="1" t="s">
        <v>1903</v>
      </c>
      <c r="E99" s="1" t="s">
        <v>1889</v>
      </c>
      <c r="F99" s="1" t="s">
        <v>1904</v>
      </c>
      <c r="G99" s="1" t="s">
        <v>1932</v>
      </c>
      <c r="H99" s="1" t="s">
        <v>1897</v>
      </c>
      <c r="I99" s="144">
        <v>0.8</v>
      </c>
      <c r="J99" s="144">
        <v>0.7</v>
      </c>
      <c r="K99" s="144">
        <v>0.1</v>
      </c>
      <c r="L99" s="144">
        <v>0.63079057129726501</v>
      </c>
      <c r="M99" s="144">
        <v>0.56293371652143898</v>
      </c>
      <c r="N99" s="144">
        <v>6.7856854775825801E-2</v>
      </c>
      <c r="O99" s="144">
        <v>0.59176029962546794</v>
      </c>
      <c r="P99" s="144">
        <v>0.54681647940074896</v>
      </c>
      <c r="Q99" s="145">
        <v>4.49438202247191E-2</v>
      </c>
    </row>
    <row r="100" spans="2:17" ht="15" customHeight="1" x14ac:dyDescent="0.35">
      <c r="B100" s="140">
        <v>97</v>
      </c>
      <c r="C100" s="1" t="s">
        <v>1894</v>
      </c>
      <c r="D100" s="1" t="s">
        <v>1906</v>
      </c>
      <c r="E100" s="1" t="s">
        <v>1889</v>
      </c>
      <c r="F100" s="1" t="s">
        <v>1904</v>
      </c>
      <c r="G100" s="1" t="s">
        <v>1932</v>
      </c>
      <c r="H100" s="1" t="s">
        <v>1897</v>
      </c>
      <c r="I100" s="144">
        <v>0.82608695652173902</v>
      </c>
      <c r="J100" s="144">
        <v>0.60869565217391297</v>
      </c>
      <c r="K100" s="144">
        <v>0.217391304347826</v>
      </c>
      <c r="L100" s="144">
        <v>0.59774368561598801</v>
      </c>
      <c r="M100" s="144">
        <v>0.41002863853259403</v>
      </c>
      <c r="N100" s="144">
        <v>0.18771504708339401</v>
      </c>
      <c r="O100" s="144">
        <v>0.42909090909090902</v>
      </c>
      <c r="P100" s="144">
        <v>0.18181818181818199</v>
      </c>
      <c r="Q100" s="145">
        <v>0.24727272727272701</v>
      </c>
    </row>
    <row r="101" spans="2:17" ht="15" customHeight="1" x14ac:dyDescent="0.35">
      <c r="B101" s="140">
        <v>98</v>
      </c>
      <c r="C101" s="1" t="s">
        <v>1894</v>
      </c>
      <c r="D101" s="1" t="s">
        <v>1908</v>
      </c>
      <c r="E101" s="1" t="s">
        <v>1889</v>
      </c>
      <c r="F101" s="1" t="s">
        <v>1904</v>
      </c>
      <c r="G101" s="1" t="s">
        <v>1932</v>
      </c>
      <c r="H101" s="1" t="s">
        <v>1897</v>
      </c>
      <c r="I101" s="144">
        <v>0.72222222222222199</v>
      </c>
      <c r="J101" s="144">
        <v>0.66666666666666696</v>
      </c>
      <c r="K101" s="144">
        <v>5.5555555555555601E-2</v>
      </c>
      <c r="L101" s="144">
        <v>0.54817763626437499</v>
      </c>
      <c r="M101" s="144">
        <v>0.53226864383595596</v>
      </c>
      <c r="N101" s="144">
        <v>1.5908992428418801E-2</v>
      </c>
      <c r="O101" s="144">
        <v>0.57414448669201501</v>
      </c>
      <c r="P101" s="144">
        <v>0.53231939163498099</v>
      </c>
      <c r="Q101" s="145">
        <v>4.1825095057034301E-2</v>
      </c>
    </row>
    <row r="102" spans="2:17" ht="15" customHeight="1" x14ac:dyDescent="0.35">
      <c r="B102" s="140">
        <v>99</v>
      </c>
      <c r="C102" s="1" t="s">
        <v>1894</v>
      </c>
      <c r="D102" s="1" t="s">
        <v>1909</v>
      </c>
      <c r="E102" s="1" t="s">
        <v>1889</v>
      </c>
      <c r="F102" s="1" t="s">
        <v>1904</v>
      </c>
      <c r="G102" s="1" t="s">
        <v>1932</v>
      </c>
      <c r="H102" s="1" t="s">
        <v>1897</v>
      </c>
      <c r="I102" s="144">
        <v>0.71428571428571397</v>
      </c>
      <c r="J102" s="144">
        <v>0.476190476190476</v>
      </c>
      <c r="K102" s="144">
        <v>0.238095238095238</v>
      </c>
      <c r="L102" s="144">
        <v>0.53362155228456298</v>
      </c>
      <c r="M102" s="144">
        <v>0.33901865815656801</v>
      </c>
      <c r="N102" s="144">
        <v>0.194602894127994</v>
      </c>
      <c r="O102" s="144">
        <v>0.59642857142857097</v>
      </c>
      <c r="P102" s="144">
        <v>0.49285714285714299</v>
      </c>
      <c r="Q102" s="145">
        <v>0.10357142857142899</v>
      </c>
    </row>
    <row r="103" spans="2:17" ht="15" customHeight="1" x14ac:dyDescent="0.35">
      <c r="B103" s="140">
        <v>100</v>
      </c>
      <c r="C103" s="1" t="s">
        <v>1894</v>
      </c>
      <c r="D103" s="1" t="s">
        <v>1910</v>
      </c>
      <c r="E103" s="1" t="s">
        <v>1889</v>
      </c>
      <c r="F103" s="1" t="s">
        <v>1904</v>
      </c>
      <c r="G103" s="1" t="s">
        <v>1932</v>
      </c>
      <c r="H103" s="1" t="s">
        <v>1897</v>
      </c>
      <c r="I103" s="144">
        <v>0.83333333333333304</v>
      </c>
      <c r="J103" s="144">
        <v>0.58333333333333304</v>
      </c>
      <c r="K103" s="144">
        <v>0.25</v>
      </c>
      <c r="L103" s="144">
        <v>0.60305646449935102</v>
      </c>
      <c r="M103" s="144">
        <v>0.40155627561616603</v>
      </c>
      <c r="N103" s="144">
        <v>0.20150018888318499</v>
      </c>
      <c r="O103" s="144">
        <v>0.43525179856115098</v>
      </c>
      <c r="P103" s="144">
        <v>0.17985611510791399</v>
      </c>
      <c r="Q103" s="145">
        <v>0.25539568345323699</v>
      </c>
    </row>
    <row r="104" spans="2:17" ht="15" customHeight="1" x14ac:dyDescent="0.35">
      <c r="B104" s="140">
        <v>101</v>
      </c>
      <c r="C104" s="135" t="s">
        <v>1887</v>
      </c>
      <c r="D104" s="135" t="s">
        <v>1911</v>
      </c>
      <c r="E104" s="135" t="s">
        <v>1889</v>
      </c>
      <c r="F104" s="135" t="s">
        <v>1912</v>
      </c>
      <c r="G104" s="135" t="s">
        <v>1933</v>
      </c>
      <c r="H104" s="135" t="s">
        <v>1897</v>
      </c>
      <c r="I104" s="146">
        <v>0.92</v>
      </c>
      <c r="J104" s="146">
        <v>0.4</v>
      </c>
      <c r="K104" s="146">
        <v>0.52</v>
      </c>
      <c r="L104" s="146">
        <v>0.65878431455091002</v>
      </c>
      <c r="M104" s="146">
        <v>0.21962430742448499</v>
      </c>
      <c r="N104" s="146">
        <v>0.439160007126425</v>
      </c>
      <c r="O104" s="146">
        <v>0.52380952380952395</v>
      </c>
      <c r="P104" s="146">
        <v>0.139194139194139</v>
      </c>
      <c r="Q104" s="147">
        <v>0.38461538461538503</v>
      </c>
    </row>
    <row r="105" spans="2:17" ht="15" customHeight="1" x14ac:dyDescent="0.35">
      <c r="B105" s="140">
        <v>102</v>
      </c>
      <c r="C105" s="135" t="s">
        <v>1887</v>
      </c>
      <c r="D105" s="135" t="s">
        <v>1915</v>
      </c>
      <c r="E105" s="135" t="s">
        <v>1889</v>
      </c>
      <c r="F105" s="135" t="s">
        <v>1912</v>
      </c>
      <c r="G105" s="135" t="s">
        <v>1933</v>
      </c>
      <c r="H105" s="135" t="s">
        <v>1897</v>
      </c>
      <c r="I105" s="146">
        <v>0.84615384615384603</v>
      </c>
      <c r="J105" s="146">
        <v>0.230769230769231</v>
      </c>
      <c r="K105" s="146">
        <v>0.61538461538461497</v>
      </c>
      <c r="L105" s="146">
        <v>0.66241737484977803</v>
      </c>
      <c r="M105" s="146">
        <v>0.15205709392795</v>
      </c>
      <c r="N105" s="146">
        <v>0.51036028092182795</v>
      </c>
      <c r="O105" s="146">
        <v>0.54225352112676095</v>
      </c>
      <c r="P105" s="146">
        <v>0.13380281690140799</v>
      </c>
      <c r="Q105" s="147">
        <v>0.40845070422535201</v>
      </c>
    </row>
    <row r="106" spans="2:17" ht="15" customHeight="1" x14ac:dyDescent="0.35">
      <c r="B106" s="140">
        <v>103</v>
      </c>
      <c r="C106" s="135" t="s">
        <v>1887</v>
      </c>
      <c r="D106" s="135" t="s">
        <v>1917</v>
      </c>
      <c r="E106" s="135" t="s">
        <v>1889</v>
      </c>
      <c r="F106" s="135" t="s">
        <v>1912</v>
      </c>
      <c r="G106" s="135" t="s">
        <v>1933</v>
      </c>
      <c r="H106" s="135" t="s">
        <v>1897</v>
      </c>
      <c r="I106" s="146">
        <v>0.88</v>
      </c>
      <c r="J106" s="146">
        <v>0.32</v>
      </c>
      <c r="K106" s="146">
        <v>0.56000000000000005</v>
      </c>
      <c r="L106" s="146">
        <v>0.72523533761423997</v>
      </c>
      <c r="M106" s="146">
        <v>0.28562451204448702</v>
      </c>
      <c r="N106" s="146">
        <v>0.43961082556975301</v>
      </c>
      <c r="O106" s="146">
        <v>0.41152263374485598</v>
      </c>
      <c r="P106" s="146">
        <v>4.9382716049382699E-2</v>
      </c>
      <c r="Q106" s="147">
        <v>0.36213991769547299</v>
      </c>
    </row>
    <row r="107" spans="2:17" ht="15" customHeight="1" x14ac:dyDescent="0.35">
      <c r="B107" s="140">
        <v>104</v>
      </c>
      <c r="C107" s="135" t="s">
        <v>1887</v>
      </c>
      <c r="D107" s="135" t="s">
        <v>1918</v>
      </c>
      <c r="E107" s="135" t="s">
        <v>1889</v>
      </c>
      <c r="F107" s="135" t="s">
        <v>1912</v>
      </c>
      <c r="G107" s="135" t="s">
        <v>1933</v>
      </c>
      <c r="H107" s="135" t="s">
        <v>1897</v>
      </c>
      <c r="I107" s="146">
        <v>0.92857142857142905</v>
      </c>
      <c r="J107" s="146">
        <v>0.35714285714285698</v>
      </c>
      <c r="K107" s="146">
        <v>0.57142857142857095</v>
      </c>
      <c r="L107" s="146">
        <v>0.69264571323902902</v>
      </c>
      <c r="M107" s="146">
        <v>0.19782933564435001</v>
      </c>
      <c r="N107" s="146">
        <v>0.494816377594679</v>
      </c>
      <c r="O107" s="146">
        <v>0.51219512195121997</v>
      </c>
      <c r="P107" s="146">
        <v>6.2717770034843204E-2</v>
      </c>
      <c r="Q107" s="147">
        <v>0.449477351916376</v>
      </c>
    </row>
    <row r="108" spans="2:17" ht="15" customHeight="1" x14ac:dyDescent="0.35">
      <c r="B108" s="140">
        <v>105</v>
      </c>
      <c r="C108" s="135" t="s">
        <v>1887</v>
      </c>
      <c r="D108" s="135" t="s">
        <v>1919</v>
      </c>
      <c r="E108" s="135" t="s">
        <v>1889</v>
      </c>
      <c r="F108" s="135" t="s">
        <v>1912</v>
      </c>
      <c r="G108" s="135" t="s">
        <v>1933</v>
      </c>
      <c r="H108" s="135" t="s">
        <v>1897</v>
      </c>
      <c r="I108" s="146">
        <v>0.84</v>
      </c>
      <c r="J108" s="146">
        <v>0.24</v>
      </c>
      <c r="K108" s="146">
        <v>0.6</v>
      </c>
      <c r="L108" s="146">
        <v>0.63146109412457396</v>
      </c>
      <c r="M108" s="146">
        <v>0.13167233843040699</v>
      </c>
      <c r="N108" s="146">
        <v>0.49978875569416598</v>
      </c>
      <c r="O108" s="146">
        <v>0.498181818181818</v>
      </c>
      <c r="P108" s="146">
        <v>7.9999999999999793E-2</v>
      </c>
      <c r="Q108" s="147">
        <v>0.41818181818181799</v>
      </c>
    </row>
    <row r="109" spans="2:17" ht="15" customHeight="1" x14ac:dyDescent="0.35">
      <c r="B109" s="140">
        <v>106</v>
      </c>
      <c r="C109" s="135" t="s">
        <v>1888</v>
      </c>
      <c r="D109" s="135" t="s">
        <v>1911</v>
      </c>
      <c r="E109" s="135" t="s">
        <v>1889</v>
      </c>
      <c r="F109" s="135" t="s">
        <v>1912</v>
      </c>
      <c r="G109" s="135" t="s">
        <v>1933</v>
      </c>
      <c r="H109" s="135" t="s">
        <v>1897</v>
      </c>
      <c r="I109" s="146">
        <v>0.79166666666666696</v>
      </c>
      <c r="J109" s="146">
        <v>0.33333333333333298</v>
      </c>
      <c r="K109" s="146">
        <v>0.45833333333333298</v>
      </c>
      <c r="L109" s="146">
        <v>0.60563771198263505</v>
      </c>
      <c r="M109" s="146">
        <v>0.19455651442566799</v>
      </c>
      <c r="N109" s="146">
        <v>0.41108119755696698</v>
      </c>
      <c r="O109" s="146">
        <v>0.355212355212355</v>
      </c>
      <c r="P109" s="146">
        <v>3.8610038610038699E-2</v>
      </c>
      <c r="Q109" s="147">
        <v>0.31660231660231702</v>
      </c>
    </row>
    <row r="110" spans="2:17" ht="15" customHeight="1" x14ac:dyDescent="0.35">
      <c r="B110" s="140">
        <v>107</v>
      </c>
      <c r="C110" s="135" t="s">
        <v>1888</v>
      </c>
      <c r="D110" s="135" t="s">
        <v>1915</v>
      </c>
      <c r="E110" s="135" t="s">
        <v>1889</v>
      </c>
      <c r="F110" s="135" t="s">
        <v>1912</v>
      </c>
      <c r="G110" s="135" t="s">
        <v>1933</v>
      </c>
      <c r="H110" s="135" t="s">
        <v>1897</v>
      </c>
      <c r="I110" s="146">
        <v>0.76923076923076905</v>
      </c>
      <c r="J110" s="146">
        <v>0.230769230769231</v>
      </c>
      <c r="K110" s="146">
        <v>0.53846153846153799</v>
      </c>
      <c r="L110" s="146">
        <v>0.655636840448375</v>
      </c>
      <c r="M110" s="146">
        <v>0.184737939433716</v>
      </c>
      <c r="N110" s="146">
        <v>0.47089890101465898</v>
      </c>
      <c r="O110" s="146">
        <v>0.43369175627240197</v>
      </c>
      <c r="P110" s="146">
        <v>0.10035842293906801</v>
      </c>
      <c r="Q110" s="147">
        <v>0.33333333333333298</v>
      </c>
    </row>
    <row r="111" spans="2:17" ht="15" customHeight="1" x14ac:dyDescent="0.35">
      <c r="B111" s="140">
        <v>108</v>
      </c>
      <c r="C111" s="135" t="s">
        <v>1888</v>
      </c>
      <c r="D111" s="135" t="s">
        <v>1917</v>
      </c>
      <c r="E111" s="135" t="s">
        <v>1889</v>
      </c>
      <c r="F111" s="135" t="s">
        <v>1912</v>
      </c>
      <c r="G111" s="135" t="s">
        <v>1933</v>
      </c>
      <c r="H111" s="135" t="s">
        <v>1897</v>
      </c>
      <c r="I111" s="146">
        <v>0.8</v>
      </c>
      <c r="J111" s="146">
        <v>0.32</v>
      </c>
      <c r="K111" s="146">
        <v>0.48</v>
      </c>
      <c r="L111" s="146">
        <v>0.67637416230273295</v>
      </c>
      <c r="M111" s="146">
        <v>0.26254754648288903</v>
      </c>
      <c r="N111" s="146">
        <v>0.41382661581984298</v>
      </c>
      <c r="O111" s="146">
        <v>0.30991735537190102</v>
      </c>
      <c r="P111" s="146">
        <v>4.13223140495865E-2</v>
      </c>
      <c r="Q111" s="147">
        <v>0.26859504132231399</v>
      </c>
    </row>
    <row r="112" spans="2:17" ht="15" customHeight="1" x14ac:dyDescent="0.35">
      <c r="B112" s="140">
        <v>109</v>
      </c>
      <c r="C112" s="135" t="s">
        <v>1888</v>
      </c>
      <c r="D112" s="135" t="s">
        <v>1918</v>
      </c>
      <c r="E112" s="135" t="s">
        <v>1889</v>
      </c>
      <c r="F112" s="135" t="s">
        <v>1912</v>
      </c>
      <c r="G112" s="135" t="s">
        <v>1933</v>
      </c>
      <c r="H112" s="135" t="s">
        <v>1897</v>
      </c>
      <c r="I112" s="146">
        <v>0.81481481481481499</v>
      </c>
      <c r="J112" s="146">
        <v>0.296296296296296</v>
      </c>
      <c r="K112" s="146">
        <v>0.51851851851851805</v>
      </c>
      <c r="L112" s="146">
        <v>0.64526890288664096</v>
      </c>
      <c r="M112" s="146">
        <v>0.175004679478199</v>
      </c>
      <c r="N112" s="146">
        <v>0.47026422340844198</v>
      </c>
      <c r="O112" s="146">
        <v>0.42105263157894801</v>
      </c>
      <c r="P112" s="146">
        <v>4.9122807017543998E-2</v>
      </c>
      <c r="Q112" s="147">
        <v>0.371929824561403</v>
      </c>
    </row>
    <row r="113" spans="2:17" ht="15" customHeight="1" x14ac:dyDescent="0.35">
      <c r="B113" s="140">
        <v>110</v>
      </c>
      <c r="C113" s="135" t="s">
        <v>1888</v>
      </c>
      <c r="D113" s="135" t="s">
        <v>1919</v>
      </c>
      <c r="E113" s="135" t="s">
        <v>1889</v>
      </c>
      <c r="F113" s="135" t="s">
        <v>1912</v>
      </c>
      <c r="G113" s="135" t="s">
        <v>1933</v>
      </c>
      <c r="H113" s="135" t="s">
        <v>1897</v>
      </c>
      <c r="I113" s="146">
        <v>0.70833333333333304</v>
      </c>
      <c r="J113" s="146">
        <v>0.16666666666666699</v>
      </c>
      <c r="K113" s="146">
        <v>0.54166666666666696</v>
      </c>
      <c r="L113" s="146">
        <v>0.57993303949744501</v>
      </c>
      <c r="M113" s="146">
        <v>0.10635061149371799</v>
      </c>
      <c r="N113" s="146">
        <v>0.47358242800372702</v>
      </c>
      <c r="O113" s="146">
        <v>0.379182156133829</v>
      </c>
      <c r="P113" s="146">
        <v>3.7174721189590899E-2</v>
      </c>
      <c r="Q113" s="147">
        <v>0.34200743494423802</v>
      </c>
    </row>
    <row r="114" spans="2:17" ht="15" customHeight="1" x14ac:dyDescent="0.35">
      <c r="B114" s="140">
        <v>111</v>
      </c>
      <c r="C114" s="135" t="s">
        <v>1892</v>
      </c>
      <c r="D114" s="135" t="s">
        <v>1911</v>
      </c>
      <c r="E114" s="135" t="s">
        <v>1889</v>
      </c>
      <c r="F114" s="135" t="s">
        <v>1912</v>
      </c>
      <c r="G114" s="135" t="s">
        <v>1933</v>
      </c>
      <c r="H114" s="135" t="s">
        <v>1897</v>
      </c>
      <c r="I114" s="146">
        <v>0.88461538461538503</v>
      </c>
      <c r="J114" s="146">
        <v>0.46153846153846201</v>
      </c>
      <c r="K114" s="146">
        <v>0.42307692307692302</v>
      </c>
      <c r="L114" s="146">
        <v>0.62714966134612105</v>
      </c>
      <c r="M114" s="146">
        <v>0.28079773196950503</v>
      </c>
      <c r="N114" s="146">
        <v>0.34635192937661602</v>
      </c>
      <c r="O114" s="146">
        <v>0.53214285714285703</v>
      </c>
      <c r="P114" s="146">
        <v>0.185714285714286</v>
      </c>
      <c r="Q114" s="147">
        <v>0.34642857142857097</v>
      </c>
    </row>
    <row r="115" spans="2:17" ht="15" customHeight="1" x14ac:dyDescent="0.35">
      <c r="B115" s="140">
        <v>112</v>
      </c>
      <c r="C115" s="135" t="s">
        <v>1892</v>
      </c>
      <c r="D115" s="135" t="s">
        <v>1915</v>
      </c>
      <c r="E115" s="135" t="s">
        <v>1889</v>
      </c>
      <c r="F115" s="135" t="s">
        <v>1912</v>
      </c>
      <c r="G115" s="135" t="s">
        <v>1933</v>
      </c>
      <c r="H115" s="135" t="s">
        <v>1897</v>
      </c>
      <c r="I115" s="146">
        <v>0.81481481481481499</v>
      </c>
      <c r="J115" s="146">
        <v>0.296296296296296</v>
      </c>
      <c r="K115" s="146">
        <v>0.51851851851851805</v>
      </c>
      <c r="L115" s="146">
        <v>0.63320935880301499</v>
      </c>
      <c r="M115" s="146">
        <v>0.21045110383148</v>
      </c>
      <c r="N115" s="146">
        <v>0.42275825497153602</v>
      </c>
      <c r="O115" s="146">
        <v>0.54982817869415801</v>
      </c>
      <c r="P115" s="146">
        <v>0.17869415807560099</v>
      </c>
      <c r="Q115" s="147">
        <v>0.37113402061855699</v>
      </c>
    </row>
    <row r="116" spans="2:17" ht="15" customHeight="1" x14ac:dyDescent="0.35">
      <c r="B116" s="140">
        <v>113</v>
      </c>
      <c r="C116" s="135" t="s">
        <v>1892</v>
      </c>
      <c r="D116" s="135" t="s">
        <v>1917</v>
      </c>
      <c r="E116" s="135" t="s">
        <v>1889</v>
      </c>
      <c r="F116" s="135" t="s">
        <v>1912</v>
      </c>
      <c r="G116" s="135" t="s">
        <v>1933</v>
      </c>
      <c r="H116" s="135" t="s">
        <v>1897</v>
      </c>
      <c r="I116" s="146">
        <v>0.84615384615384603</v>
      </c>
      <c r="J116" s="146">
        <v>0.38461538461538503</v>
      </c>
      <c r="K116" s="146">
        <v>0.46153846153846201</v>
      </c>
      <c r="L116" s="146">
        <v>0.693752764046496</v>
      </c>
      <c r="M116" s="146">
        <v>0.34030071669710399</v>
      </c>
      <c r="N116" s="146">
        <v>0.35345204734939101</v>
      </c>
      <c r="O116" s="146">
        <v>0.42399999999999999</v>
      </c>
      <c r="P116" s="146">
        <v>0.104</v>
      </c>
      <c r="Q116" s="147">
        <v>0.32</v>
      </c>
    </row>
    <row r="117" spans="2:17" ht="15" customHeight="1" x14ac:dyDescent="0.35">
      <c r="B117" s="140">
        <v>114</v>
      </c>
      <c r="C117" s="135" t="s">
        <v>1892</v>
      </c>
      <c r="D117" s="135" t="s">
        <v>1918</v>
      </c>
      <c r="E117" s="135" t="s">
        <v>1889</v>
      </c>
      <c r="F117" s="135" t="s">
        <v>1912</v>
      </c>
      <c r="G117" s="135" t="s">
        <v>1933</v>
      </c>
      <c r="H117" s="135" t="s">
        <v>1897</v>
      </c>
      <c r="I117" s="146">
        <v>0.89655172413793105</v>
      </c>
      <c r="J117" s="146">
        <v>0.41379310344827602</v>
      </c>
      <c r="K117" s="146">
        <v>0.48275862068965503</v>
      </c>
      <c r="L117" s="146">
        <v>0.66300131139168395</v>
      </c>
      <c r="M117" s="146">
        <v>0.25379745605047499</v>
      </c>
      <c r="N117" s="146">
        <v>0.40920385534121001</v>
      </c>
      <c r="O117" s="146">
        <v>0.52040816326530603</v>
      </c>
      <c r="P117" s="146">
        <v>0.108843537414966</v>
      </c>
      <c r="Q117" s="147">
        <v>0.41156462585033998</v>
      </c>
    </row>
    <row r="118" spans="2:17" ht="15" customHeight="1" x14ac:dyDescent="0.35">
      <c r="B118" s="140">
        <v>115</v>
      </c>
      <c r="C118" s="135" t="s">
        <v>1892</v>
      </c>
      <c r="D118" s="135" t="s">
        <v>1919</v>
      </c>
      <c r="E118" s="135" t="s">
        <v>1889</v>
      </c>
      <c r="F118" s="135" t="s">
        <v>1912</v>
      </c>
      <c r="G118" s="135" t="s">
        <v>1933</v>
      </c>
      <c r="H118" s="135" t="s">
        <v>1897</v>
      </c>
      <c r="I118" s="146">
        <v>0.76</v>
      </c>
      <c r="J118" s="146">
        <v>0.24</v>
      </c>
      <c r="K118" s="146">
        <v>0.52</v>
      </c>
      <c r="L118" s="146">
        <v>0.55394868172286604</v>
      </c>
      <c r="M118" s="146">
        <v>0.13167233843040699</v>
      </c>
      <c r="N118" s="146">
        <v>0.422276343292459</v>
      </c>
      <c r="O118" s="146">
        <v>0.469090909090909</v>
      </c>
      <c r="P118" s="146">
        <v>7.9999999999999793E-2</v>
      </c>
      <c r="Q118" s="147">
        <v>0.38909090909090899</v>
      </c>
    </row>
    <row r="119" spans="2:17" ht="15" customHeight="1" x14ac:dyDescent="0.35">
      <c r="B119" s="140">
        <v>116</v>
      </c>
      <c r="C119" s="135" t="s">
        <v>1893</v>
      </c>
      <c r="D119" s="135" t="s">
        <v>1911</v>
      </c>
      <c r="E119" s="135" t="s">
        <v>1889</v>
      </c>
      <c r="F119" s="135" t="s">
        <v>1912</v>
      </c>
      <c r="G119" s="135" t="s">
        <v>1933</v>
      </c>
      <c r="H119" s="135" t="s">
        <v>1897</v>
      </c>
      <c r="I119" s="146">
        <v>0.84</v>
      </c>
      <c r="J119" s="146">
        <v>0.4</v>
      </c>
      <c r="K119" s="146">
        <v>0.44</v>
      </c>
      <c r="L119" s="146">
        <v>0.68613371257665701</v>
      </c>
      <c r="M119" s="146">
        <v>0.291085407670642</v>
      </c>
      <c r="N119" s="146">
        <v>0.395048304906015</v>
      </c>
      <c r="O119" s="146">
        <v>0.44043321299638999</v>
      </c>
      <c r="P119" s="146">
        <v>0.16606498194945901</v>
      </c>
      <c r="Q119" s="147">
        <v>0.27436823104693098</v>
      </c>
    </row>
    <row r="120" spans="2:17" ht="15" customHeight="1" x14ac:dyDescent="0.35">
      <c r="B120" s="140">
        <v>117</v>
      </c>
      <c r="C120" s="135" t="s">
        <v>1893</v>
      </c>
      <c r="D120" s="135" t="s">
        <v>1915</v>
      </c>
      <c r="E120" s="135" t="s">
        <v>1889</v>
      </c>
      <c r="F120" s="135" t="s">
        <v>1912</v>
      </c>
      <c r="G120" s="135" t="s">
        <v>1933</v>
      </c>
      <c r="H120" s="135" t="s">
        <v>1897</v>
      </c>
      <c r="I120" s="146">
        <v>0.85714285714285698</v>
      </c>
      <c r="J120" s="146">
        <v>0.35714285714285698</v>
      </c>
      <c r="K120" s="146">
        <v>0.5</v>
      </c>
      <c r="L120" s="146">
        <v>0.75370473454375098</v>
      </c>
      <c r="M120" s="146">
        <v>0.31014262164099798</v>
      </c>
      <c r="N120" s="146">
        <v>0.44356211290275399</v>
      </c>
      <c r="O120" s="146">
        <v>0.49319727891156501</v>
      </c>
      <c r="P120" s="146">
        <v>0.19727891156462601</v>
      </c>
      <c r="Q120" s="147">
        <v>0.29591836734693899</v>
      </c>
    </row>
    <row r="121" spans="2:17" ht="15" customHeight="1" x14ac:dyDescent="0.35">
      <c r="B121" s="140">
        <v>118</v>
      </c>
      <c r="C121" s="135" t="s">
        <v>1893</v>
      </c>
      <c r="D121" s="135" t="s">
        <v>1917</v>
      </c>
      <c r="E121" s="135" t="s">
        <v>1889</v>
      </c>
      <c r="F121" s="135" t="s">
        <v>1912</v>
      </c>
      <c r="G121" s="135" t="s">
        <v>1933</v>
      </c>
      <c r="H121" s="135" t="s">
        <v>1897</v>
      </c>
      <c r="I121" s="146">
        <v>0.84615384615384603</v>
      </c>
      <c r="J121" s="146">
        <v>0.38461538461538503</v>
      </c>
      <c r="K121" s="146">
        <v>0.46153846153846201</v>
      </c>
      <c r="L121" s="146">
        <v>0.72957081437376303</v>
      </c>
      <c r="M121" s="146">
        <v>0.32502092787758402</v>
      </c>
      <c r="N121" s="146">
        <v>0.40454988649617901</v>
      </c>
      <c r="O121" s="146">
        <v>0.34</v>
      </c>
      <c r="P121" s="146">
        <v>0.104</v>
      </c>
      <c r="Q121" s="147">
        <v>0.23599999999999999</v>
      </c>
    </row>
    <row r="122" spans="2:17" ht="15" customHeight="1" x14ac:dyDescent="0.35">
      <c r="B122" s="140">
        <v>119</v>
      </c>
      <c r="C122" s="135" t="s">
        <v>1893</v>
      </c>
      <c r="D122" s="135" t="s">
        <v>1918</v>
      </c>
      <c r="E122" s="135" t="s">
        <v>1889</v>
      </c>
      <c r="F122" s="135" t="s">
        <v>1912</v>
      </c>
      <c r="G122" s="135" t="s">
        <v>1933</v>
      </c>
      <c r="H122" s="135" t="s">
        <v>1897</v>
      </c>
      <c r="I122" s="146">
        <v>0.81481481481481499</v>
      </c>
      <c r="J122" s="146">
        <v>0.296296296296296</v>
      </c>
      <c r="K122" s="146">
        <v>0.51851851851851805</v>
      </c>
      <c r="L122" s="146">
        <v>0.69342764121421596</v>
      </c>
      <c r="M122" s="146">
        <v>0.23250874264526</v>
      </c>
      <c r="N122" s="146">
        <v>0.46091889856895601</v>
      </c>
      <c r="O122" s="146">
        <v>0.43835616438356201</v>
      </c>
      <c r="P122" s="146">
        <v>9.5890410958904201E-2</v>
      </c>
      <c r="Q122" s="147">
        <v>0.34246575342465801</v>
      </c>
    </row>
    <row r="123" spans="2:17" ht="15" customHeight="1" x14ac:dyDescent="0.35">
      <c r="B123" s="140">
        <v>120</v>
      </c>
      <c r="C123" s="135" t="s">
        <v>1893</v>
      </c>
      <c r="D123" s="135" t="s">
        <v>1919</v>
      </c>
      <c r="E123" s="135" t="s">
        <v>1889</v>
      </c>
      <c r="F123" s="135" t="s">
        <v>1912</v>
      </c>
      <c r="G123" s="135" t="s">
        <v>1933</v>
      </c>
      <c r="H123" s="135" t="s">
        <v>1897</v>
      </c>
      <c r="I123" s="146">
        <v>0.76</v>
      </c>
      <c r="J123" s="146">
        <v>0.24</v>
      </c>
      <c r="K123" s="146">
        <v>0.52</v>
      </c>
      <c r="L123" s="146">
        <v>0.61861475510971597</v>
      </c>
      <c r="M123" s="146">
        <v>0.15005548761826601</v>
      </c>
      <c r="N123" s="146">
        <v>0.46855926749144999</v>
      </c>
      <c r="O123" s="146">
        <v>0.36900369003689998</v>
      </c>
      <c r="P123" s="146">
        <v>5.16605166051659E-2</v>
      </c>
      <c r="Q123" s="147">
        <v>0.31734317343173402</v>
      </c>
    </row>
    <row r="124" spans="2:17" ht="15" customHeight="1" x14ac:dyDescent="0.35">
      <c r="B124" s="140">
        <v>121</v>
      </c>
      <c r="C124" s="135" t="s">
        <v>1894</v>
      </c>
      <c r="D124" s="135" t="s">
        <v>1911</v>
      </c>
      <c r="E124" s="135" t="s">
        <v>1889</v>
      </c>
      <c r="F124" s="135" t="s">
        <v>1912</v>
      </c>
      <c r="G124" s="135" t="s">
        <v>1933</v>
      </c>
      <c r="H124" s="135" t="s">
        <v>1897</v>
      </c>
      <c r="I124" s="146">
        <v>0.85185185185185197</v>
      </c>
      <c r="J124" s="146">
        <v>0.51851851851851805</v>
      </c>
      <c r="K124" s="146">
        <v>0.33333333333333298</v>
      </c>
      <c r="L124" s="146">
        <v>0.58138404463405602</v>
      </c>
      <c r="M124" s="146">
        <v>0.27344311586506997</v>
      </c>
      <c r="N124" s="146">
        <v>0.30794092876898599</v>
      </c>
      <c r="O124" s="146">
        <v>0.44839857651245502</v>
      </c>
      <c r="P124" s="146">
        <v>0.19217081850533799</v>
      </c>
      <c r="Q124" s="147">
        <v>0.256227758007117</v>
      </c>
    </row>
    <row r="125" spans="2:17" ht="15" customHeight="1" x14ac:dyDescent="0.35">
      <c r="B125" s="140">
        <v>122</v>
      </c>
      <c r="C125" s="135" t="s">
        <v>1894</v>
      </c>
      <c r="D125" s="135" t="s">
        <v>1915</v>
      </c>
      <c r="E125" s="135" t="s">
        <v>1889</v>
      </c>
      <c r="F125" s="135" t="s">
        <v>1912</v>
      </c>
      <c r="G125" s="135" t="s">
        <v>1933</v>
      </c>
      <c r="H125" s="135" t="s">
        <v>1897</v>
      </c>
      <c r="I125" s="146">
        <v>0.86666666666666703</v>
      </c>
      <c r="J125" s="146">
        <v>0.46666666666666701</v>
      </c>
      <c r="K125" s="146">
        <v>0.4</v>
      </c>
      <c r="L125" s="146">
        <v>0.71071315851238204</v>
      </c>
      <c r="M125" s="146">
        <v>0.35587158591526702</v>
      </c>
      <c r="N125" s="146">
        <v>0.35484157259711502</v>
      </c>
      <c r="O125" s="146">
        <v>0.5</v>
      </c>
      <c r="P125" s="146">
        <v>0.221476510067114</v>
      </c>
      <c r="Q125" s="147">
        <v>0.278523489932886</v>
      </c>
    </row>
    <row r="126" spans="2:17" ht="15" customHeight="1" x14ac:dyDescent="0.35">
      <c r="B126" s="140">
        <v>123</v>
      </c>
      <c r="C126" s="135" t="s">
        <v>1894</v>
      </c>
      <c r="D126" s="135" t="s">
        <v>1917</v>
      </c>
      <c r="E126" s="135" t="s">
        <v>1889</v>
      </c>
      <c r="F126" s="135" t="s">
        <v>1912</v>
      </c>
      <c r="G126" s="135" t="s">
        <v>1933</v>
      </c>
      <c r="H126" s="135" t="s">
        <v>1897</v>
      </c>
      <c r="I126" s="146">
        <v>0.76923076923076905</v>
      </c>
      <c r="J126" s="146">
        <v>0.38461538461538503</v>
      </c>
      <c r="K126" s="146">
        <v>0.38461538461538503</v>
      </c>
      <c r="L126" s="146">
        <v>0.62115639636860098</v>
      </c>
      <c r="M126" s="146">
        <v>0.29615418266996102</v>
      </c>
      <c r="N126" s="146">
        <v>0.32500221369864002</v>
      </c>
      <c r="O126" s="146">
        <v>0.32400000000000001</v>
      </c>
      <c r="P126" s="146">
        <v>0.104</v>
      </c>
      <c r="Q126" s="147">
        <v>0.22</v>
      </c>
    </row>
    <row r="127" spans="2:17" ht="15" customHeight="1" x14ac:dyDescent="0.35">
      <c r="B127" s="140">
        <v>124</v>
      </c>
      <c r="C127" s="135" t="s">
        <v>1894</v>
      </c>
      <c r="D127" s="135" t="s">
        <v>1918</v>
      </c>
      <c r="E127" s="135" t="s">
        <v>1889</v>
      </c>
      <c r="F127" s="135" t="s">
        <v>1912</v>
      </c>
      <c r="G127" s="135" t="s">
        <v>1933</v>
      </c>
      <c r="H127" s="135" t="s">
        <v>1897</v>
      </c>
      <c r="I127" s="146">
        <v>0.78571428571428603</v>
      </c>
      <c r="J127" s="146">
        <v>0.35714285714285698</v>
      </c>
      <c r="K127" s="146">
        <v>0.42857142857142899</v>
      </c>
      <c r="L127" s="146">
        <v>0.60528702541884205</v>
      </c>
      <c r="M127" s="146">
        <v>0.22605576388294299</v>
      </c>
      <c r="N127" s="146">
        <v>0.37923126153589898</v>
      </c>
      <c r="O127" s="146">
        <v>0.430034129692833</v>
      </c>
      <c r="P127" s="146">
        <v>0.102389078498294</v>
      </c>
      <c r="Q127" s="147">
        <v>0.32764505119453902</v>
      </c>
    </row>
    <row r="128" spans="2:17" ht="15" customHeight="1" x14ac:dyDescent="0.35">
      <c r="B128" s="140">
        <v>125</v>
      </c>
      <c r="C128" s="135" t="s">
        <v>1894</v>
      </c>
      <c r="D128" s="135" t="s">
        <v>1919</v>
      </c>
      <c r="E128" s="135" t="s">
        <v>1889</v>
      </c>
      <c r="F128" s="135" t="s">
        <v>1912</v>
      </c>
      <c r="G128" s="135" t="s">
        <v>1933</v>
      </c>
      <c r="H128" s="135" t="s">
        <v>1897</v>
      </c>
      <c r="I128" s="146">
        <v>0.68</v>
      </c>
      <c r="J128" s="146">
        <v>0.24</v>
      </c>
      <c r="K128" s="146">
        <v>0.44</v>
      </c>
      <c r="L128" s="146">
        <v>0.52894936385649505</v>
      </c>
      <c r="M128" s="146">
        <v>0.15005548761826601</v>
      </c>
      <c r="N128" s="146">
        <v>0.37889387623822901</v>
      </c>
      <c r="O128" s="146">
        <v>0.354243542435424</v>
      </c>
      <c r="P128" s="146">
        <v>5.16605166051659E-2</v>
      </c>
      <c r="Q128" s="147">
        <v>0.30258302583025798</v>
      </c>
    </row>
    <row r="129" spans="2:17" ht="15" customHeight="1" x14ac:dyDescent="0.35">
      <c r="B129" s="140">
        <v>126</v>
      </c>
      <c r="C129" s="1" t="s">
        <v>1887</v>
      </c>
      <c r="D129" s="1" t="s">
        <v>1920</v>
      </c>
      <c r="E129" s="1" t="s">
        <v>1889</v>
      </c>
      <c r="F129" s="1" t="s">
        <v>1921</v>
      </c>
      <c r="G129" s="1" t="s">
        <v>1934</v>
      </c>
      <c r="H129" s="1" t="s">
        <v>1897</v>
      </c>
      <c r="I129" s="144">
        <v>0.96153846153846201</v>
      </c>
      <c r="J129" s="144">
        <v>0.46153846153846201</v>
      </c>
      <c r="K129" s="144">
        <v>0.5</v>
      </c>
      <c r="L129" s="144">
        <v>0.75725252897094797</v>
      </c>
      <c r="M129" s="144">
        <v>0.31796665579560701</v>
      </c>
      <c r="N129" s="144">
        <v>0.43928587317534101</v>
      </c>
      <c r="O129" s="144">
        <v>0.534965034965035</v>
      </c>
      <c r="P129" s="144">
        <v>0.111888111888112</v>
      </c>
      <c r="Q129" s="145">
        <v>0.42307692307692302</v>
      </c>
    </row>
    <row r="130" spans="2:17" ht="15" customHeight="1" x14ac:dyDescent="0.35">
      <c r="B130" s="140">
        <v>127</v>
      </c>
      <c r="C130" s="1" t="s">
        <v>1887</v>
      </c>
      <c r="D130" s="1" t="s">
        <v>1925</v>
      </c>
      <c r="E130" s="1" t="s">
        <v>1889</v>
      </c>
      <c r="F130" s="1" t="s">
        <v>1921</v>
      </c>
      <c r="G130" s="1" t="s">
        <v>1934</v>
      </c>
      <c r="H130" s="1" t="s">
        <v>1897</v>
      </c>
      <c r="I130" s="144">
        <v>0.85185185185185197</v>
      </c>
      <c r="J130" s="144">
        <v>0.22222222222222199</v>
      </c>
      <c r="K130" s="144">
        <v>0.62962962962962998</v>
      </c>
      <c r="L130" s="144">
        <v>0.71609577486763998</v>
      </c>
      <c r="M130" s="144">
        <v>0.19862120407879999</v>
      </c>
      <c r="N130" s="144">
        <v>0.51747457078883996</v>
      </c>
      <c r="O130" s="144">
        <v>0.49253731343283602</v>
      </c>
      <c r="P130" s="144">
        <v>9.7014925373134206E-2</v>
      </c>
      <c r="Q130" s="145">
        <v>0.39552238805970202</v>
      </c>
    </row>
    <row r="131" spans="2:17" ht="15" customHeight="1" x14ac:dyDescent="0.35">
      <c r="B131" s="140">
        <v>128</v>
      </c>
      <c r="C131" s="1" t="s">
        <v>1887</v>
      </c>
      <c r="D131" s="1" t="s">
        <v>1927</v>
      </c>
      <c r="E131" s="1" t="s">
        <v>1889</v>
      </c>
      <c r="F131" s="1" t="s">
        <v>1921</v>
      </c>
      <c r="G131" s="1" t="s">
        <v>1934</v>
      </c>
      <c r="H131" s="1" t="s">
        <v>1897</v>
      </c>
      <c r="I131" s="144">
        <v>0.91666666666666696</v>
      </c>
      <c r="J131" s="144">
        <v>0.41666666666666702</v>
      </c>
      <c r="K131" s="144">
        <v>0.5</v>
      </c>
      <c r="L131" s="144">
        <v>0.76367796520487696</v>
      </c>
      <c r="M131" s="144">
        <v>0.40101138293187499</v>
      </c>
      <c r="N131" s="144">
        <v>0.36266658227300202</v>
      </c>
      <c r="O131" s="144">
        <v>0.47457627118644102</v>
      </c>
      <c r="P131" s="144">
        <v>0.21186440677966101</v>
      </c>
      <c r="Q131" s="145">
        <v>0.26271186440678002</v>
      </c>
    </row>
    <row r="132" spans="2:17" ht="15" customHeight="1" x14ac:dyDescent="0.35">
      <c r="B132" s="140">
        <v>129</v>
      </c>
      <c r="C132" s="1" t="s">
        <v>1887</v>
      </c>
      <c r="D132" s="1" t="s">
        <v>1928</v>
      </c>
      <c r="E132" s="1" t="s">
        <v>1889</v>
      </c>
      <c r="F132" s="1" t="s">
        <v>1921</v>
      </c>
      <c r="G132" s="1" t="s">
        <v>1934</v>
      </c>
      <c r="H132" s="1" t="s">
        <v>1897</v>
      </c>
      <c r="I132" s="144">
        <v>0.88461538461538503</v>
      </c>
      <c r="J132" s="144">
        <v>0.30769230769230799</v>
      </c>
      <c r="K132" s="144">
        <v>0.57692307692307698</v>
      </c>
      <c r="L132" s="144">
        <v>0.74267396024431698</v>
      </c>
      <c r="M132" s="144">
        <v>0.26749664204768703</v>
      </c>
      <c r="N132" s="144">
        <v>0.47517731819663001</v>
      </c>
      <c r="O132" s="144">
        <v>0.51660516605166096</v>
      </c>
      <c r="P132" s="144">
        <v>0.132841328413284</v>
      </c>
      <c r="Q132" s="145">
        <v>0.38376383763837602</v>
      </c>
    </row>
    <row r="133" spans="2:17" ht="15" customHeight="1" x14ac:dyDescent="0.35">
      <c r="B133" s="140">
        <v>130</v>
      </c>
      <c r="C133" s="1" t="s">
        <v>1887</v>
      </c>
      <c r="D133" s="1" t="s">
        <v>1929</v>
      </c>
      <c r="E133" s="1" t="s">
        <v>1889</v>
      </c>
      <c r="F133" s="1" t="s">
        <v>1921</v>
      </c>
      <c r="G133" s="1" t="s">
        <v>1934</v>
      </c>
      <c r="H133" s="1" t="s">
        <v>1897</v>
      </c>
      <c r="I133" s="144">
        <v>0.85714285714285698</v>
      </c>
      <c r="J133" s="144">
        <v>0.38095238095238099</v>
      </c>
      <c r="K133" s="144">
        <v>0.476190476190476</v>
      </c>
      <c r="L133" s="144">
        <v>0.72664386454651197</v>
      </c>
      <c r="M133" s="144">
        <v>0.387247997563888</v>
      </c>
      <c r="N133" s="144">
        <v>0.33939586698262397</v>
      </c>
      <c r="O133" s="144">
        <v>0.43290043290043301</v>
      </c>
      <c r="P133" s="144">
        <v>0.15584415584415601</v>
      </c>
      <c r="Q133" s="145">
        <v>0.277056277056277</v>
      </c>
    </row>
    <row r="134" spans="2:17" ht="15" customHeight="1" x14ac:dyDescent="0.35">
      <c r="B134" s="140">
        <v>131</v>
      </c>
      <c r="C134" s="1" t="s">
        <v>1888</v>
      </c>
      <c r="D134" s="1" t="s">
        <v>1920</v>
      </c>
      <c r="E134" s="1" t="s">
        <v>1889</v>
      </c>
      <c r="F134" s="1" t="s">
        <v>1921</v>
      </c>
      <c r="G134" s="1" t="s">
        <v>1934</v>
      </c>
      <c r="H134" s="1" t="s">
        <v>1897</v>
      </c>
      <c r="I134" s="144">
        <v>0.88461538461538503</v>
      </c>
      <c r="J134" s="144">
        <v>0.46153846153846201</v>
      </c>
      <c r="K134" s="144">
        <v>0.42307692307692302</v>
      </c>
      <c r="L134" s="144">
        <v>0.71068393895063997</v>
      </c>
      <c r="M134" s="144">
        <v>0.29619536330242602</v>
      </c>
      <c r="N134" s="144">
        <v>0.41448857564821501</v>
      </c>
      <c r="O134" s="144">
        <v>0.404332129963899</v>
      </c>
      <c r="P134" s="144">
        <v>5.0541516245487299E-2</v>
      </c>
      <c r="Q134" s="145">
        <v>0.35379061371841197</v>
      </c>
    </row>
    <row r="135" spans="2:17" ht="15" customHeight="1" x14ac:dyDescent="0.35">
      <c r="B135" s="140">
        <v>132</v>
      </c>
      <c r="C135" s="1" t="s">
        <v>1888</v>
      </c>
      <c r="D135" s="1" t="s">
        <v>1925</v>
      </c>
      <c r="E135" s="1" t="s">
        <v>1889</v>
      </c>
      <c r="F135" s="1" t="s">
        <v>1921</v>
      </c>
      <c r="G135" s="1" t="s">
        <v>1934</v>
      </c>
      <c r="H135" s="1" t="s">
        <v>1897</v>
      </c>
      <c r="I135" s="144">
        <v>0.73076923076923095</v>
      </c>
      <c r="J135" s="144">
        <v>0.15384615384615399</v>
      </c>
      <c r="K135" s="144">
        <v>0.57692307692307698</v>
      </c>
      <c r="L135" s="144">
        <v>0.61388992325059</v>
      </c>
      <c r="M135" s="144">
        <v>9.7753564615173899E-2</v>
      </c>
      <c r="N135" s="144">
        <v>0.51613635863541696</v>
      </c>
      <c r="O135" s="144">
        <v>0.34496124031007802</v>
      </c>
      <c r="P135" s="144">
        <v>2.32558139534884E-2</v>
      </c>
      <c r="Q135" s="145">
        <v>0.321705426356589</v>
      </c>
    </row>
    <row r="136" spans="2:17" ht="15" customHeight="1" x14ac:dyDescent="0.35">
      <c r="B136" s="140">
        <v>133</v>
      </c>
      <c r="C136" s="1" t="s">
        <v>1888</v>
      </c>
      <c r="D136" s="1" t="s">
        <v>1927</v>
      </c>
      <c r="E136" s="1" t="s">
        <v>1889</v>
      </c>
      <c r="F136" s="1" t="s">
        <v>1921</v>
      </c>
      <c r="G136" s="1" t="s">
        <v>1934</v>
      </c>
      <c r="H136" s="1" t="s">
        <v>1897</v>
      </c>
      <c r="I136" s="144">
        <v>0.83333333333333304</v>
      </c>
      <c r="J136" s="144">
        <v>0.41666666666666702</v>
      </c>
      <c r="K136" s="144">
        <v>0.41666666666666702</v>
      </c>
      <c r="L136" s="144">
        <v>0.67303692756953504</v>
      </c>
      <c r="M136" s="144">
        <v>0.32803471259975198</v>
      </c>
      <c r="N136" s="144">
        <v>0.34500221496978301</v>
      </c>
      <c r="O136" s="144">
        <v>0.31277533039647598</v>
      </c>
      <c r="P136" s="144">
        <v>0.140969162995595</v>
      </c>
      <c r="Q136" s="145">
        <v>0.171806167400881</v>
      </c>
    </row>
    <row r="137" spans="2:17" ht="15" customHeight="1" x14ac:dyDescent="0.35">
      <c r="B137" s="140">
        <v>134</v>
      </c>
      <c r="C137" s="1" t="s">
        <v>1888</v>
      </c>
      <c r="D137" s="1" t="s">
        <v>1928</v>
      </c>
      <c r="E137" s="1" t="s">
        <v>1889</v>
      </c>
      <c r="F137" s="1" t="s">
        <v>1921</v>
      </c>
      <c r="G137" s="1" t="s">
        <v>1934</v>
      </c>
      <c r="H137" s="1" t="s">
        <v>1897</v>
      </c>
      <c r="I137" s="144">
        <v>0.70833333333333304</v>
      </c>
      <c r="J137" s="144">
        <v>0.16666666666666699</v>
      </c>
      <c r="K137" s="144">
        <v>0.54166666666666696</v>
      </c>
      <c r="L137" s="144">
        <v>0.61897319709854803</v>
      </c>
      <c r="M137" s="144">
        <v>0.14037482876336799</v>
      </c>
      <c r="N137" s="144">
        <v>0.47859836833517999</v>
      </c>
      <c r="O137" s="144">
        <v>0.33333333333333298</v>
      </c>
      <c r="P137" s="144">
        <v>1.5686274509804001E-2</v>
      </c>
      <c r="Q137" s="145">
        <v>0.317647058823529</v>
      </c>
    </row>
    <row r="138" spans="2:17" ht="15" customHeight="1" x14ac:dyDescent="0.35">
      <c r="B138" s="140">
        <v>135</v>
      </c>
      <c r="C138" s="1" t="s">
        <v>1888</v>
      </c>
      <c r="D138" s="1" t="s">
        <v>1929</v>
      </c>
      <c r="E138" s="1" t="s">
        <v>1889</v>
      </c>
      <c r="F138" s="1" t="s">
        <v>1921</v>
      </c>
      <c r="G138" s="1" t="s">
        <v>1934</v>
      </c>
      <c r="H138" s="1" t="s">
        <v>1897</v>
      </c>
      <c r="I138" s="144">
        <v>0.81818181818181801</v>
      </c>
      <c r="J138" s="144">
        <v>0.45454545454545497</v>
      </c>
      <c r="K138" s="144">
        <v>0.36363636363636398</v>
      </c>
      <c r="L138" s="144">
        <v>0.63971453303210002</v>
      </c>
      <c r="M138" s="144">
        <v>0.32321329954996603</v>
      </c>
      <c r="N138" s="144">
        <v>0.31650123348213299</v>
      </c>
      <c r="O138" s="144">
        <v>0.24200913242009101</v>
      </c>
      <c r="P138" s="144">
        <v>5.4794520547945202E-2</v>
      </c>
      <c r="Q138" s="145">
        <v>0.187214611872146</v>
      </c>
    </row>
    <row r="139" spans="2:17" ht="15" customHeight="1" x14ac:dyDescent="0.35">
      <c r="B139" s="140">
        <v>136</v>
      </c>
      <c r="C139" s="1" t="s">
        <v>1892</v>
      </c>
      <c r="D139" s="1" t="s">
        <v>1920</v>
      </c>
      <c r="E139" s="1" t="s">
        <v>1889</v>
      </c>
      <c r="F139" s="1" t="s">
        <v>1921</v>
      </c>
      <c r="G139" s="1" t="s">
        <v>1934</v>
      </c>
      <c r="H139" s="1" t="s">
        <v>1897</v>
      </c>
      <c r="I139" s="144">
        <v>0.88461538461538503</v>
      </c>
      <c r="J139" s="144">
        <v>0.46153846153846201</v>
      </c>
      <c r="K139" s="144">
        <v>0.42307692307692302</v>
      </c>
      <c r="L139" s="144">
        <v>0.68556535089244397</v>
      </c>
      <c r="M139" s="144">
        <v>0.31796665579560701</v>
      </c>
      <c r="N139" s="144">
        <v>0.36759869509683701</v>
      </c>
      <c r="O139" s="144">
        <v>0.50699300699300698</v>
      </c>
      <c r="P139" s="144">
        <v>0.111888111888112</v>
      </c>
      <c r="Q139" s="145">
        <v>0.39510489510489499</v>
      </c>
    </row>
    <row r="140" spans="2:17" ht="15" customHeight="1" x14ac:dyDescent="0.35">
      <c r="B140" s="140">
        <v>137</v>
      </c>
      <c r="C140" s="1" t="s">
        <v>1892</v>
      </c>
      <c r="D140" s="1" t="s">
        <v>1925</v>
      </c>
      <c r="E140" s="1" t="s">
        <v>1889</v>
      </c>
      <c r="F140" s="1" t="s">
        <v>1921</v>
      </c>
      <c r="G140" s="1" t="s">
        <v>1934</v>
      </c>
      <c r="H140" s="1" t="s">
        <v>1897</v>
      </c>
      <c r="I140" s="144">
        <v>0.77777777777777801</v>
      </c>
      <c r="J140" s="144">
        <v>0.22222222222222199</v>
      </c>
      <c r="K140" s="144">
        <v>0.55555555555555602</v>
      </c>
      <c r="L140" s="144">
        <v>0.64771269437898904</v>
      </c>
      <c r="M140" s="144">
        <v>0.19862120407879999</v>
      </c>
      <c r="N140" s="144">
        <v>0.44909149030018902</v>
      </c>
      <c r="O140" s="144">
        <v>0.462686567164179</v>
      </c>
      <c r="P140" s="144">
        <v>9.7014925373134206E-2</v>
      </c>
      <c r="Q140" s="145">
        <v>0.365671641791045</v>
      </c>
    </row>
    <row r="141" spans="2:17" ht="15" customHeight="1" x14ac:dyDescent="0.35">
      <c r="B141" s="140">
        <v>138</v>
      </c>
      <c r="C141" s="1" t="s">
        <v>1892</v>
      </c>
      <c r="D141" s="1" t="s">
        <v>1927</v>
      </c>
      <c r="E141" s="1" t="s">
        <v>1889</v>
      </c>
      <c r="F141" s="1" t="s">
        <v>1921</v>
      </c>
      <c r="G141" s="1" t="s">
        <v>1934</v>
      </c>
      <c r="H141" s="1" t="s">
        <v>1897</v>
      </c>
      <c r="I141" s="144">
        <v>0.92307692307692302</v>
      </c>
      <c r="J141" s="144">
        <v>0.53846153846153799</v>
      </c>
      <c r="K141" s="144">
        <v>0.38461538461538503</v>
      </c>
      <c r="L141" s="144">
        <v>0.78076718052360405</v>
      </c>
      <c r="M141" s="144">
        <v>0.51663945287871904</v>
      </c>
      <c r="N141" s="144">
        <v>0.26412772764488501</v>
      </c>
      <c r="O141" s="144">
        <v>0.49180327868852403</v>
      </c>
      <c r="P141" s="144">
        <v>0.27049180327868799</v>
      </c>
      <c r="Q141" s="145">
        <v>0.22131147540983601</v>
      </c>
    </row>
    <row r="142" spans="2:17" ht="15" customHeight="1" x14ac:dyDescent="0.35">
      <c r="B142" s="140">
        <v>139</v>
      </c>
      <c r="C142" s="1" t="s">
        <v>1892</v>
      </c>
      <c r="D142" s="1" t="s">
        <v>1928</v>
      </c>
      <c r="E142" s="1" t="s">
        <v>1889</v>
      </c>
      <c r="F142" s="1" t="s">
        <v>1921</v>
      </c>
      <c r="G142" s="1" t="s">
        <v>1934</v>
      </c>
      <c r="H142" s="1" t="s">
        <v>1897</v>
      </c>
      <c r="I142" s="144">
        <v>0.80769230769230804</v>
      </c>
      <c r="J142" s="144">
        <v>0.30769230769230799</v>
      </c>
      <c r="K142" s="144">
        <v>0.5</v>
      </c>
      <c r="L142" s="144">
        <v>0.67288837890967901</v>
      </c>
      <c r="M142" s="144">
        <v>0.26749664204768803</v>
      </c>
      <c r="N142" s="144">
        <v>0.40539173686199098</v>
      </c>
      <c r="O142" s="144">
        <v>0.487084870848708</v>
      </c>
      <c r="P142" s="144">
        <v>0.132841328413284</v>
      </c>
      <c r="Q142" s="145">
        <v>0.354243542435424</v>
      </c>
    </row>
    <row r="143" spans="2:17" ht="15" customHeight="1" x14ac:dyDescent="0.35">
      <c r="B143" s="140">
        <v>140</v>
      </c>
      <c r="C143" s="1" t="s">
        <v>1892</v>
      </c>
      <c r="D143" s="1" t="s">
        <v>1929</v>
      </c>
      <c r="E143" s="1" t="s">
        <v>1889</v>
      </c>
      <c r="F143" s="1" t="s">
        <v>1921</v>
      </c>
      <c r="G143" s="1" t="s">
        <v>1934</v>
      </c>
      <c r="H143" s="1" t="s">
        <v>1897</v>
      </c>
      <c r="I143" s="144">
        <v>0.86956521739130399</v>
      </c>
      <c r="J143" s="144">
        <v>0.52173913043478304</v>
      </c>
      <c r="K143" s="144">
        <v>0.34782608695652201</v>
      </c>
      <c r="L143" s="144">
        <v>0.72171254592781697</v>
      </c>
      <c r="M143" s="144">
        <v>0.48044465719207202</v>
      </c>
      <c r="N143" s="144">
        <v>0.24126788873574501</v>
      </c>
      <c r="O143" s="144">
        <v>0.45188284518828398</v>
      </c>
      <c r="P143" s="144">
        <v>0.21757322175732199</v>
      </c>
      <c r="Q143" s="145">
        <v>0.23430962343096201</v>
      </c>
    </row>
    <row r="144" spans="2:17" ht="15" customHeight="1" x14ac:dyDescent="0.35">
      <c r="B144" s="140">
        <v>141</v>
      </c>
      <c r="C144" s="1" t="s">
        <v>1893</v>
      </c>
      <c r="D144" s="1" t="s">
        <v>1920</v>
      </c>
      <c r="E144" s="1" t="s">
        <v>1889</v>
      </c>
      <c r="F144" s="1" t="s">
        <v>1921</v>
      </c>
      <c r="G144" s="1" t="s">
        <v>1934</v>
      </c>
      <c r="H144" s="1" t="s">
        <v>1897</v>
      </c>
      <c r="I144" s="144">
        <v>0.88461538461538503</v>
      </c>
      <c r="J144" s="144">
        <v>0.46153846153846201</v>
      </c>
      <c r="K144" s="144">
        <v>0.42307692307692302</v>
      </c>
      <c r="L144" s="144">
        <v>0.739159167957949</v>
      </c>
      <c r="M144" s="144">
        <v>0.32657102788210501</v>
      </c>
      <c r="N144" s="144">
        <v>0.41258814007584499</v>
      </c>
      <c r="O144" s="144">
        <v>0.44444444444444398</v>
      </c>
      <c r="P144" s="144">
        <v>0.125</v>
      </c>
      <c r="Q144" s="145">
        <v>0.31944444444444398</v>
      </c>
    </row>
    <row r="145" spans="2:17" ht="15" customHeight="1" x14ac:dyDescent="0.35">
      <c r="B145" s="140">
        <v>142</v>
      </c>
      <c r="C145" s="1" t="s">
        <v>1893</v>
      </c>
      <c r="D145" s="1" t="s">
        <v>1925</v>
      </c>
      <c r="E145" s="1" t="s">
        <v>1889</v>
      </c>
      <c r="F145" s="1" t="s">
        <v>1921</v>
      </c>
      <c r="G145" s="1" t="s">
        <v>1934</v>
      </c>
      <c r="H145" s="1" t="s">
        <v>1897</v>
      </c>
      <c r="I145" s="144">
        <v>0.77777777777777801</v>
      </c>
      <c r="J145" s="144">
        <v>0.22222222222222199</v>
      </c>
      <c r="K145" s="144">
        <v>0.55555555555555602</v>
      </c>
      <c r="L145" s="144">
        <v>0.64878948121776603</v>
      </c>
      <c r="M145" s="144">
        <v>0.13818328411654601</v>
      </c>
      <c r="N145" s="144">
        <v>0.51060619710122102</v>
      </c>
      <c r="O145" s="144">
        <v>0.39629629629629598</v>
      </c>
      <c r="P145" s="144">
        <v>0.11111111111111099</v>
      </c>
      <c r="Q145" s="145">
        <v>0.28518518518518499</v>
      </c>
    </row>
    <row r="146" spans="2:17" ht="15" customHeight="1" x14ac:dyDescent="0.35">
      <c r="B146" s="140">
        <v>143</v>
      </c>
      <c r="C146" s="1" t="s">
        <v>1893</v>
      </c>
      <c r="D146" s="1" t="s">
        <v>1927</v>
      </c>
      <c r="E146" s="1" t="s">
        <v>1889</v>
      </c>
      <c r="F146" s="1" t="s">
        <v>1921</v>
      </c>
      <c r="G146" s="1" t="s">
        <v>1934</v>
      </c>
      <c r="H146" s="1" t="s">
        <v>1897</v>
      </c>
      <c r="I146" s="144">
        <v>0.92307692307692302</v>
      </c>
      <c r="J146" s="144">
        <v>0.53846153846153799</v>
      </c>
      <c r="K146" s="144">
        <v>0.38461538461538503</v>
      </c>
      <c r="L146" s="144">
        <v>0.79565721704608905</v>
      </c>
      <c r="M146" s="144">
        <v>0.47532768350441201</v>
      </c>
      <c r="N146" s="144">
        <v>0.32032953354167698</v>
      </c>
      <c r="O146" s="144">
        <v>0.41869918699186998</v>
      </c>
      <c r="P146" s="144">
        <v>0.284552845528455</v>
      </c>
      <c r="Q146" s="145">
        <v>0.134146341463415</v>
      </c>
    </row>
    <row r="147" spans="2:17" ht="15" customHeight="1" x14ac:dyDescent="0.35">
      <c r="B147" s="140">
        <v>144</v>
      </c>
      <c r="C147" s="1" t="s">
        <v>1893</v>
      </c>
      <c r="D147" s="1" t="s">
        <v>1928</v>
      </c>
      <c r="E147" s="1" t="s">
        <v>1889</v>
      </c>
      <c r="F147" s="1" t="s">
        <v>1921</v>
      </c>
      <c r="G147" s="1" t="s">
        <v>1934</v>
      </c>
      <c r="H147" s="1" t="s">
        <v>1897</v>
      </c>
      <c r="I147" s="144">
        <v>0.80769230769230804</v>
      </c>
      <c r="J147" s="144">
        <v>0.30769230769230799</v>
      </c>
      <c r="K147" s="144">
        <v>0.5</v>
      </c>
      <c r="L147" s="144">
        <v>0.67485059141643799</v>
      </c>
      <c r="M147" s="144">
        <v>0.208136554372883</v>
      </c>
      <c r="N147" s="144">
        <v>0.46671403704355502</v>
      </c>
      <c r="O147" s="144">
        <v>0.39776951672862398</v>
      </c>
      <c r="P147" s="144">
        <v>0.118959107806691</v>
      </c>
      <c r="Q147" s="145">
        <v>0.27881040892193298</v>
      </c>
    </row>
    <row r="148" spans="2:17" ht="15" customHeight="1" x14ac:dyDescent="0.35">
      <c r="B148" s="140">
        <v>145</v>
      </c>
      <c r="C148" s="1" t="s">
        <v>1893</v>
      </c>
      <c r="D148" s="1" t="s">
        <v>1929</v>
      </c>
      <c r="E148" s="1" t="s">
        <v>1889</v>
      </c>
      <c r="F148" s="1" t="s">
        <v>1921</v>
      </c>
      <c r="G148" s="1" t="s">
        <v>1934</v>
      </c>
      <c r="H148" s="1" t="s">
        <v>1897</v>
      </c>
      <c r="I148" s="144">
        <v>0.91666666666666696</v>
      </c>
      <c r="J148" s="144">
        <v>0.58333333333333304</v>
      </c>
      <c r="K148" s="144">
        <v>0.33333333333333298</v>
      </c>
      <c r="L148" s="144">
        <v>0.78499348253425505</v>
      </c>
      <c r="M148" s="144">
        <v>0.49491676156946901</v>
      </c>
      <c r="N148" s="144">
        <v>0.29007672096478598</v>
      </c>
      <c r="O148" s="144">
        <v>0.34322033898305099</v>
      </c>
      <c r="P148" s="144">
        <v>0.194915254237288</v>
      </c>
      <c r="Q148" s="145">
        <v>0.14830508474576301</v>
      </c>
    </row>
    <row r="149" spans="2:17" ht="15" customHeight="1" x14ac:dyDescent="0.35">
      <c r="B149" s="140">
        <v>146</v>
      </c>
      <c r="C149" s="1" t="s">
        <v>1894</v>
      </c>
      <c r="D149" s="1" t="s">
        <v>1920</v>
      </c>
      <c r="E149" s="1" t="s">
        <v>1889</v>
      </c>
      <c r="F149" s="1" t="s">
        <v>1921</v>
      </c>
      <c r="G149" s="1" t="s">
        <v>1934</v>
      </c>
      <c r="H149" s="1" t="s">
        <v>1897</v>
      </c>
      <c r="I149" s="144">
        <v>0.89285714285714302</v>
      </c>
      <c r="J149" s="144">
        <v>0.57142857142857095</v>
      </c>
      <c r="K149" s="144">
        <v>0.32142857142857101</v>
      </c>
      <c r="L149" s="144">
        <v>0.64613887004827497</v>
      </c>
      <c r="M149" s="144">
        <v>0.31449761647054902</v>
      </c>
      <c r="N149" s="144">
        <v>0.331641253577726</v>
      </c>
      <c r="O149" s="144">
        <v>0.45205479452054798</v>
      </c>
      <c r="P149" s="144">
        <v>0.150684931506849</v>
      </c>
      <c r="Q149" s="145">
        <v>0.301369863013699</v>
      </c>
    </row>
    <row r="150" spans="2:17" ht="15" customHeight="1" x14ac:dyDescent="0.35">
      <c r="B150" s="140">
        <v>147</v>
      </c>
      <c r="C150" s="1" t="s">
        <v>1894</v>
      </c>
      <c r="D150" s="1" t="s">
        <v>1925</v>
      </c>
      <c r="E150" s="1" t="s">
        <v>1889</v>
      </c>
      <c r="F150" s="1" t="s">
        <v>1921</v>
      </c>
      <c r="G150" s="1" t="s">
        <v>1934</v>
      </c>
      <c r="H150" s="1" t="s">
        <v>1897</v>
      </c>
      <c r="I150" s="144">
        <v>0.79310344827586199</v>
      </c>
      <c r="J150" s="144">
        <v>0.34482758620689702</v>
      </c>
      <c r="K150" s="144">
        <v>0.44827586206896602</v>
      </c>
      <c r="L150" s="144">
        <v>0.63974233446119</v>
      </c>
      <c r="M150" s="144">
        <v>0.23365686214561199</v>
      </c>
      <c r="N150" s="144">
        <v>0.40608547231557701</v>
      </c>
      <c r="O150" s="144">
        <v>0.40510948905109501</v>
      </c>
      <c r="P150" s="144">
        <v>0.13868613138686101</v>
      </c>
      <c r="Q150" s="145">
        <v>0.26642335766423397</v>
      </c>
    </row>
    <row r="151" spans="2:17" ht="15" customHeight="1" x14ac:dyDescent="0.35">
      <c r="B151" s="140">
        <v>148</v>
      </c>
      <c r="C151" s="1" t="s">
        <v>1894</v>
      </c>
      <c r="D151" s="1" t="s">
        <v>1927</v>
      </c>
      <c r="E151" s="1" t="s">
        <v>1889</v>
      </c>
      <c r="F151" s="1" t="s">
        <v>1921</v>
      </c>
      <c r="G151" s="1" t="s">
        <v>1934</v>
      </c>
      <c r="H151" s="1" t="s">
        <v>1897</v>
      </c>
      <c r="I151" s="144">
        <v>0.84615384615384603</v>
      </c>
      <c r="J151" s="144">
        <v>0.53846153846153799</v>
      </c>
      <c r="K151" s="144">
        <v>0.30769230769230799</v>
      </c>
      <c r="L151" s="144">
        <v>0.69896786542683098</v>
      </c>
      <c r="M151" s="144">
        <v>0.46369148233228302</v>
      </c>
      <c r="N151" s="144">
        <v>0.23527638309454799</v>
      </c>
      <c r="O151" s="144">
        <v>0.40243902439024398</v>
      </c>
      <c r="P151" s="144">
        <v>0.284552845528455</v>
      </c>
      <c r="Q151" s="145">
        <v>0.117886178861789</v>
      </c>
    </row>
    <row r="152" spans="2:17" ht="15" customHeight="1" x14ac:dyDescent="0.35">
      <c r="B152" s="140">
        <v>149</v>
      </c>
      <c r="C152" s="1" t="s">
        <v>1894</v>
      </c>
      <c r="D152" s="1" t="s">
        <v>1928</v>
      </c>
      <c r="E152" s="1" t="s">
        <v>1889</v>
      </c>
      <c r="F152" s="1" t="s">
        <v>1921</v>
      </c>
      <c r="G152" s="1" t="s">
        <v>1934</v>
      </c>
      <c r="H152" s="1" t="s">
        <v>1897</v>
      </c>
      <c r="I152" s="144">
        <v>0.77777777777777801</v>
      </c>
      <c r="J152" s="144">
        <v>0.37037037037037002</v>
      </c>
      <c r="K152" s="144">
        <v>0.407407407407407</v>
      </c>
      <c r="L152" s="144">
        <v>0.61434194941277498</v>
      </c>
      <c r="M152" s="144">
        <v>0.23841138216772001</v>
      </c>
      <c r="N152" s="144">
        <v>0.37593056724505503</v>
      </c>
      <c r="O152" s="144">
        <v>0.38888888888888901</v>
      </c>
      <c r="P152" s="144">
        <v>0.125925925925926</v>
      </c>
      <c r="Q152" s="145">
        <v>0.26296296296296301</v>
      </c>
    </row>
    <row r="153" spans="2:17" ht="15" customHeight="1" x14ac:dyDescent="0.35">
      <c r="B153" s="140">
        <v>150</v>
      </c>
      <c r="C153" s="1" t="s">
        <v>1894</v>
      </c>
      <c r="D153" s="1" t="s">
        <v>1929</v>
      </c>
      <c r="E153" s="1" t="s">
        <v>1889</v>
      </c>
      <c r="F153" s="1" t="s">
        <v>1921</v>
      </c>
      <c r="G153" s="1" t="s">
        <v>1934</v>
      </c>
      <c r="H153" s="1" t="s">
        <v>1897</v>
      </c>
      <c r="I153" s="144">
        <v>0.83333333333333304</v>
      </c>
      <c r="J153" s="144">
        <v>0.58333333333333304</v>
      </c>
      <c r="K153" s="144">
        <v>0.25</v>
      </c>
      <c r="L153" s="144">
        <v>0.69480222820109905</v>
      </c>
      <c r="M153" s="144">
        <v>0.49568099556345302</v>
      </c>
      <c r="N153" s="144">
        <v>0.199121232637647</v>
      </c>
      <c r="O153" s="144">
        <v>0.32627118644067798</v>
      </c>
      <c r="P153" s="144">
        <v>0.194915254237288</v>
      </c>
      <c r="Q153" s="145">
        <v>0.13135593220339001</v>
      </c>
    </row>
    <row r="154" spans="2:17" ht="15" customHeight="1" x14ac:dyDescent="0.35">
      <c r="B154" s="140">
        <v>151</v>
      </c>
      <c r="C154" s="135" t="s">
        <v>1895</v>
      </c>
      <c r="D154" s="135" t="s">
        <v>1903</v>
      </c>
      <c r="E154" s="135" t="s">
        <v>1896</v>
      </c>
      <c r="F154" s="135" t="s">
        <v>1904</v>
      </c>
      <c r="G154" s="135" t="s">
        <v>1905</v>
      </c>
      <c r="H154" s="135" t="s">
        <v>1897</v>
      </c>
      <c r="I154" s="146">
        <v>0.54545454545454497</v>
      </c>
      <c r="J154" s="146">
        <v>0.27272727272727298</v>
      </c>
      <c r="K154" s="146">
        <v>0.27272727272727298</v>
      </c>
      <c r="L154" s="146">
        <v>0.402286600636307</v>
      </c>
      <c r="M154" s="146">
        <v>0.17695589442599399</v>
      </c>
      <c r="N154" s="146">
        <v>0.22533070621031301</v>
      </c>
      <c r="O154" s="146">
        <v>0.29545454545454602</v>
      </c>
      <c r="P154" s="146">
        <v>6.0606060606060698E-2</v>
      </c>
      <c r="Q154" s="147">
        <v>0.234848484848485</v>
      </c>
    </row>
    <row r="155" spans="2:17" ht="15" customHeight="1" x14ac:dyDescent="0.35">
      <c r="B155" s="140">
        <v>152</v>
      </c>
      <c r="C155" s="135" t="s">
        <v>1895</v>
      </c>
      <c r="D155" s="135" t="s">
        <v>1906</v>
      </c>
      <c r="E155" s="135" t="s">
        <v>1896</v>
      </c>
      <c r="F155" s="135" t="s">
        <v>1904</v>
      </c>
      <c r="G155" s="135" t="s">
        <v>1905</v>
      </c>
      <c r="H155" s="135" t="s">
        <v>1897</v>
      </c>
      <c r="I155" s="146">
        <v>0.47826086956521702</v>
      </c>
      <c r="J155" s="146">
        <v>0.34782608695652201</v>
      </c>
      <c r="K155" s="146">
        <v>0.13043478260869601</v>
      </c>
      <c r="L155" s="146">
        <v>0.34748917252783701</v>
      </c>
      <c r="M155" s="146">
        <v>0.25355500863026498</v>
      </c>
      <c r="N155" s="146">
        <v>9.3934163897571796E-2</v>
      </c>
      <c r="O155" s="146">
        <v>6.8702290076335895E-2</v>
      </c>
      <c r="P155" s="146">
        <v>4.5801526717557203E-2</v>
      </c>
      <c r="Q155" s="147">
        <v>2.2900763358778602E-2</v>
      </c>
    </row>
    <row r="156" spans="2:17" ht="15" customHeight="1" x14ac:dyDescent="0.35">
      <c r="B156" s="140">
        <v>153</v>
      </c>
      <c r="C156" s="135" t="s">
        <v>1895</v>
      </c>
      <c r="D156" s="135" t="s">
        <v>1908</v>
      </c>
      <c r="E156" s="135" t="s">
        <v>1896</v>
      </c>
      <c r="F156" s="135" t="s">
        <v>1904</v>
      </c>
      <c r="G156" s="135" t="s">
        <v>1905</v>
      </c>
      <c r="H156" s="135" t="s">
        <v>1897</v>
      </c>
      <c r="I156" s="146">
        <v>0.52380952380952395</v>
      </c>
      <c r="J156" s="146">
        <v>0.19047619047618999</v>
      </c>
      <c r="K156" s="146">
        <v>0.33333333333333298</v>
      </c>
      <c r="L156" s="146">
        <v>0.44661126390954298</v>
      </c>
      <c r="M156" s="146">
        <v>0.16904844188306101</v>
      </c>
      <c r="N156" s="146">
        <v>0.27756282202648203</v>
      </c>
      <c r="O156" s="146">
        <v>0.29277566539923899</v>
      </c>
      <c r="P156" s="146">
        <v>5.3231939163497999E-2</v>
      </c>
      <c r="Q156" s="147">
        <v>0.23954372623574099</v>
      </c>
    </row>
    <row r="157" spans="2:17" ht="15" customHeight="1" x14ac:dyDescent="0.35">
      <c r="B157" s="140">
        <v>154</v>
      </c>
      <c r="C157" s="135" t="s">
        <v>1895</v>
      </c>
      <c r="D157" s="135" t="s">
        <v>1909</v>
      </c>
      <c r="E157" s="135" t="s">
        <v>1896</v>
      </c>
      <c r="F157" s="135" t="s">
        <v>1904</v>
      </c>
      <c r="G157" s="135" t="s">
        <v>1905</v>
      </c>
      <c r="H157" s="135" t="s">
        <v>1897</v>
      </c>
      <c r="I157" s="146">
        <v>0.54166666666666696</v>
      </c>
      <c r="J157" s="146">
        <v>0.41666666666666702</v>
      </c>
      <c r="K157" s="146">
        <v>0.125</v>
      </c>
      <c r="L157" s="146">
        <v>0.38508415143202701</v>
      </c>
      <c r="M157" s="146">
        <v>0.29139175329000999</v>
      </c>
      <c r="N157" s="146">
        <v>9.3692398142016894E-2</v>
      </c>
      <c r="O157" s="146">
        <v>0.28308823529411697</v>
      </c>
      <c r="P157" s="146">
        <v>0.11764705882352899</v>
      </c>
      <c r="Q157" s="147">
        <v>0.16544117647058801</v>
      </c>
    </row>
    <row r="158" spans="2:17" ht="15" customHeight="1" x14ac:dyDescent="0.35">
      <c r="B158" s="140">
        <v>155</v>
      </c>
      <c r="C158" s="135" t="s">
        <v>1895</v>
      </c>
      <c r="D158" s="135" t="s">
        <v>1910</v>
      </c>
      <c r="E158" s="135" t="s">
        <v>1896</v>
      </c>
      <c r="F158" s="135" t="s">
        <v>1904</v>
      </c>
      <c r="G158" s="135" t="s">
        <v>1905</v>
      </c>
      <c r="H158" s="135" t="s">
        <v>1897</v>
      </c>
      <c r="I158" s="146">
        <v>0.5</v>
      </c>
      <c r="J158" s="146">
        <v>0.41666666666666702</v>
      </c>
      <c r="K158" s="146">
        <v>8.3333333333333301E-2</v>
      </c>
      <c r="L158" s="146">
        <v>0.34576420012775999</v>
      </c>
      <c r="M158" s="146">
        <v>0.26919023670780801</v>
      </c>
      <c r="N158" s="146">
        <v>7.6573963419952096E-2</v>
      </c>
      <c r="O158" s="146">
        <v>8.6466165413533705E-2</v>
      </c>
      <c r="P158" s="146">
        <v>7.5187969924811901E-2</v>
      </c>
      <c r="Q158" s="147">
        <v>1.12781954887218E-2</v>
      </c>
    </row>
    <row r="159" spans="2:17" ht="15" customHeight="1" x14ac:dyDescent="0.35">
      <c r="B159" s="140">
        <v>156</v>
      </c>
      <c r="C159" s="135" t="s">
        <v>1898</v>
      </c>
      <c r="D159" s="135" t="s">
        <v>1903</v>
      </c>
      <c r="E159" s="135" t="s">
        <v>1896</v>
      </c>
      <c r="F159" s="135" t="s">
        <v>1904</v>
      </c>
      <c r="G159" s="135" t="s">
        <v>1905</v>
      </c>
      <c r="H159" s="135" t="s">
        <v>1897</v>
      </c>
      <c r="I159" s="146">
        <v>0.476190476190476</v>
      </c>
      <c r="J159" s="146">
        <v>0.19047619047618999</v>
      </c>
      <c r="K159" s="146">
        <v>0.28571428571428598</v>
      </c>
      <c r="L159" s="146">
        <v>0.363440286024238</v>
      </c>
      <c r="M159" s="146">
        <v>0.177971699605393</v>
      </c>
      <c r="N159" s="146">
        <v>0.18546858641884501</v>
      </c>
      <c r="O159" s="146">
        <v>0.30483271375464699</v>
      </c>
      <c r="P159" s="146">
        <v>5.2044609665427399E-2</v>
      </c>
      <c r="Q159" s="147">
        <v>0.25278810408921898</v>
      </c>
    </row>
    <row r="160" spans="2:17" ht="15" customHeight="1" x14ac:dyDescent="0.35">
      <c r="B160" s="140">
        <v>157</v>
      </c>
      <c r="C160" s="135" t="s">
        <v>1898</v>
      </c>
      <c r="D160" s="135" t="s">
        <v>1906</v>
      </c>
      <c r="E160" s="135" t="s">
        <v>1896</v>
      </c>
      <c r="F160" s="135" t="s">
        <v>1904</v>
      </c>
      <c r="G160" s="135" t="s">
        <v>1905</v>
      </c>
      <c r="H160" s="135" t="s">
        <v>1897</v>
      </c>
      <c r="I160" s="146">
        <v>0.40909090909090901</v>
      </c>
      <c r="J160" s="146">
        <v>0.27272727272727298</v>
      </c>
      <c r="K160" s="146">
        <v>0.13636363636363599</v>
      </c>
      <c r="L160" s="146">
        <v>0.32387269004020303</v>
      </c>
      <c r="M160" s="146">
        <v>0.27571022589889999</v>
      </c>
      <c r="N160" s="146">
        <v>4.81624641413025E-2</v>
      </c>
      <c r="O160" s="146">
        <v>8.2397003745318401E-2</v>
      </c>
      <c r="P160" s="146">
        <v>3.7453183520599301E-2</v>
      </c>
      <c r="Q160" s="147">
        <v>4.49438202247191E-2</v>
      </c>
    </row>
    <row r="161" spans="2:17" ht="15" customHeight="1" x14ac:dyDescent="0.35">
      <c r="B161" s="140">
        <v>158</v>
      </c>
      <c r="C161" s="135" t="s">
        <v>1898</v>
      </c>
      <c r="D161" s="135" t="s">
        <v>1908</v>
      </c>
      <c r="E161" s="135" t="s">
        <v>1896</v>
      </c>
      <c r="F161" s="135" t="s">
        <v>1904</v>
      </c>
      <c r="G161" s="135" t="s">
        <v>1905</v>
      </c>
      <c r="H161" s="135" t="s">
        <v>1897</v>
      </c>
      <c r="I161" s="146">
        <v>0.52380952380952395</v>
      </c>
      <c r="J161" s="146">
        <v>0.19047619047618999</v>
      </c>
      <c r="K161" s="146">
        <v>0.33333333333333298</v>
      </c>
      <c r="L161" s="146">
        <v>0.41740052255182802</v>
      </c>
      <c r="M161" s="146">
        <v>0.177971699605393</v>
      </c>
      <c r="N161" s="146">
        <v>0.239428822946435</v>
      </c>
      <c r="O161" s="146">
        <v>0.308550185873606</v>
      </c>
      <c r="P161" s="146">
        <v>5.2044609665427399E-2</v>
      </c>
      <c r="Q161" s="147">
        <v>0.25650557620817799</v>
      </c>
    </row>
    <row r="162" spans="2:17" ht="15" customHeight="1" x14ac:dyDescent="0.35">
      <c r="B162" s="140">
        <v>159</v>
      </c>
      <c r="C162" s="135" t="s">
        <v>1898</v>
      </c>
      <c r="D162" s="135" t="s">
        <v>1909</v>
      </c>
      <c r="E162" s="135" t="s">
        <v>1896</v>
      </c>
      <c r="F162" s="135" t="s">
        <v>1904</v>
      </c>
      <c r="G162" s="135" t="s">
        <v>1905</v>
      </c>
      <c r="H162" s="135" t="s">
        <v>1897</v>
      </c>
      <c r="I162" s="146">
        <v>0.54166666666666696</v>
      </c>
      <c r="J162" s="146">
        <v>0.41666666666666702</v>
      </c>
      <c r="K162" s="146">
        <v>0.125</v>
      </c>
      <c r="L162" s="146">
        <v>0.42879894075722302</v>
      </c>
      <c r="M162" s="146">
        <v>0.38180300191427802</v>
      </c>
      <c r="N162" s="146">
        <v>4.6995938842944597E-2</v>
      </c>
      <c r="O162" s="146">
        <v>0.298561151079137</v>
      </c>
      <c r="P162" s="146">
        <v>0.115107913669065</v>
      </c>
      <c r="Q162" s="147">
        <v>0.183453237410072</v>
      </c>
    </row>
    <row r="163" spans="2:17" ht="15" customHeight="1" x14ac:dyDescent="0.35">
      <c r="B163" s="140">
        <v>160</v>
      </c>
      <c r="C163" s="135" t="s">
        <v>1898</v>
      </c>
      <c r="D163" s="135" t="s">
        <v>1910</v>
      </c>
      <c r="E163" s="135" t="s">
        <v>1896</v>
      </c>
      <c r="F163" s="135" t="s">
        <v>1904</v>
      </c>
      <c r="G163" s="135" t="s">
        <v>1905</v>
      </c>
      <c r="H163" s="135" t="s">
        <v>1897</v>
      </c>
      <c r="I163" s="146">
        <v>0.434782608695652</v>
      </c>
      <c r="J163" s="146">
        <v>0.34782608695652201</v>
      </c>
      <c r="K163" s="146">
        <v>8.6956521739130405E-2</v>
      </c>
      <c r="L163" s="146">
        <v>0.30149437552115699</v>
      </c>
      <c r="M163" s="146">
        <v>0.27065226042712598</v>
      </c>
      <c r="N163" s="146">
        <v>3.0842115094031199E-2</v>
      </c>
      <c r="O163" s="146">
        <v>9.9630996309963096E-2</v>
      </c>
      <c r="P163" s="146">
        <v>6.6420664206641999E-2</v>
      </c>
      <c r="Q163" s="147">
        <v>3.3210332103321E-2</v>
      </c>
    </row>
    <row r="164" spans="2:17" ht="15" customHeight="1" x14ac:dyDescent="0.35">
      <c r="B164" s="140">
        <v>161</v>
      </c>
      <c r="C164" s="135" t="s">
        <v>1900</v>
      </c>
      <c r="D164" s="135" t="s">
        <v>1903</v>
      </c>
      <c r="E164" s="135" t="s">
        <v>1896</v>
      </c>
      <c r="F164" s="135" t="s">
        <v>1904</v>
      </c>
      <c r="G164" s="135" t="s">
        <v>1905</v>
      </c>
      <c r="H164" s="135" t="s">
        <v>1897</v>
      </c>
      <c r="I164" s="146">
        <v>0.565217391304348</v>
      </c>
      <c r="J164" s="146">
        <v>0.26086956521739102</v>
      </c>
      <c r="K164" s="146">
        <v>0.30434782608695699</v>
      </c>
      <c r="L164" s="146">
        <v>0.51736043937845799</v>
      </c>
      <c r="M164" s="146">
        <v>0.26409598449771199</v>
      </c>
      <c r="N164" s="146">
        <v>0.253264454880747</v>
      </c>
      <c r="O164" s="146">
        <v>0.36363636363636398</v>
      </c>
      <c r="P164" s="146">
        <v>8.3916083916083906E-2</v>
      </c>
      <c r="Q164" s="147">
        <v>0.27972027972028002</v>
      </c>
    </row>
    <row r="165" spans="2:17" ht="15" customHeight="1" x14ac:dyDescent="0.35">
      <c r="B165" s="140">
        <v>162</v>
      </c>
      <c r="C165" s="135" t="s">
        <v>1900</v>
      </c>
      <c r="D165" s="135" t="s">
        <v>1906</v>
      </c>
      <c r="E165" s="135" t="s">
        <v>1896</v>
      </c>
      <c r="F165" s="135" t="s">
        <v>1904</v>
      </c>
      <c r="G165" s="135" t="s">
        <v>1905</v>
      </c>
      <c r="H165" s="135" t="s">
        <v>1897</v>
      </c>
      <c r="I165" s="146">
        <v>0.5</v>
      </c>
      <c r="J165" s="146">
        <v>0.33333333333333298</v>
      </c>
      <c r="K165" s="146">
        <v>0.16666666666666699</v>
      </c>
      <c r="L165" s="146">
        <v>0.47650851781215098</v>
      </c>
      <c r="M165" s="146">
        <v>0.34363868660709201</v>
      </c>
      <c r="N165" s="146">
        <v>0.13286983120505899</v>
      </c>
      <c r="O165" s="146">
        <v>0.154929577464789</v>
      </c>
      <c r="P165" s="146">
        <v>7.0422535211267498E-2</v>
      </c>
      <c r="Q165" s="147">
        <v>8.4507042253521097E-2</v>
      </c>
    </row>
    <row r="166" spans="2:17" ht="15" customHeight="1" x14ac:dyDescent="0.35">
      <c r="B166" s="140">
        <v>163</v>
      </c>
      <c r="C166" s="135" t="s">
        <v>1900</v>
      </c>
      <c r="D166" s="135" t="s">
        <v>1908</v>
      </c>
      <c r="E166" s="135" t="s">
        <v>1896</v>
      </c>
      <c r="F166" s="135" t="s">
        <v>1904</v>
      </c>
      <c r="G166" s="135" t="s">
        <v>1905</v>
      </c>
      <c r="H166" s="135" t="s">
        <v>1897</v>
      </c>
      <c r="I166" s="146">
        <v>0.60869565217391297</v>
      </c>
      <c r="J166" s="146">
        <v>0.26086956521739102</v>
      </c>
      <c r="K166" s="146">
        <v>0.34782608695652201</v>
      </c>
      <c r="L166" s="146">
        <v>0.56307594974657005</v>
      </c>
      <c r="M166" s="146">
        <v>0.26409598449771199</v>
      </c>
      <c r="N166" s="146">
        <v>0.298979965248859</v>
      </c>
      <c r="O166" s="146">
        <v>0.36713286713286702</v>
      </c>
      <c r="P166" s="146">
        <v>8.3916083916083906E-2</v>
      </c>
      <c r="Q166" s="147">
        <v>0.28321678321678301</v>
      </c>
    </row>
    <row r="167" spans="2:17" ht="15" customHeight="1" x14ac:dyDescent="0.35">
      <c r="B167" s="140">
        <v>164</v>
      </c>
      <c r="C167" s="135" t="s">
        <v>1900</v>
      </c>
      <c r="D167" s="135" t="s">
        <v>1909</v>
      </c>
      <c r="E167" s="135" t="s">
        <v>1896</v>
      </c>
      <c r="F167" s="135" t="s">
        <v>1904</v>
      </c>
      <c r="G167" s="135" t="s">
        <v>1905</v>
      </c>
      <c r="H167" s="135" t="s">
        <v>1897</v>
      </c>
      <c r="I167" s="146">
        <v>0.56000000000000005</v>
      </c>
      <c r="J167" s="146">
        <v>0.4</v>
      </c>
      <c r="K167" s="146">
        <v>0.16</v>
      </c>
      <c r="L167" s="146">
        <v>0.48672721301206501</v>
      </c>
      <c r="M167" s="146">
        <v>0.35298048486120198</v>
      </c>
      <c r="N167" s="146">
        <v>0.133746728150863</v>
      </c>
      <c r="O167" s="146">
        <v>0.321799307958477</v>
      </c>
      <c r="P167" s="146">
        <v>0.103806228373702</v>
      </c>
      <c r="Q167" s="147">
        <v>0.21799307958477501</v>
      </c>
    </row>
    <row r="168" spans="2:17" ht="15" customHeight="1" x14ac:dyDescent="0.35">
      <c r="B168" s="140">
        <v>165</v>
      </c>
      <c r="C168" s="135" t="s">
        <v>1900</v>
      </c>
      <c r="D168" s="135" t="s">
        <v>1910</v>
      </c>
      <c r="E168" s="135" t="s">
        <v>1896</v>
      </c>
      <c r="F168" s="135" t="s">
        <v>1904</v>
      </c>
      <c r="G168" s="135" t="s">
        <v>1905</v>
      </c>
      <c r="H168" s="135" t="s">
        <v>1897</v>
      </c>
      <c r="I168" s="146">
        <v>0.57692307692307698</v>
      </c>
      <c r="J168" s="146">
        <v>0.46153846153846201</v>
      </c>
      <c r="K168" s="146">
        <v>0.115384615384615</v>
      </c>
      <c r="L168" s="146">
        <v>0.47268099856484902</v>
      </c>
      <c r="M168" s="146">
        <v>0.35553058160128398</v>
      </c>
      <c r="N168" s="146">
        <v>0.117150416963565</v>
      </c>
      <c r="O168" s="146">
        <v>0.16376306620209</v>
      </c>
      <c r="P168" s="146">
        <v>9.0592334494773399E-2</v>
      </c>
      <c r="Q168" s="147">
        <v>7.3170731707317097E-2</v>
      </c>
    </row>
    <row r="169" spans="2:17" ht="15" customHeight="1" x14ac:dyDescent="0.35">
      <c r="B169" s="140">
        <v>166</v>
      </c>
      <c r="C169" s="135" t="s">
        <v>1901</v>
      </c>
      <c r="D169" s="135" t="s">
        <v>1903</v>
      </c>
      <c r="E169" s="135" t="s">
        <v>1896</v>
      </c>
      <c r="F169" s="135" t="s">
        <v>1904</v>
      </c>
      <c r="G169" s="135" t="s">
        <v>1905</v>
      </c>
      <c r="H169" s="135" t="s">
        <v>1897</v>
      </c>
      <c r="I169" s="146">
        <v>0.42105263157894701</v>
      </c>
      <c r="J169" s="146">
        <v>0.21052631578947401</v>
      </c>
      <c r="K169" s="146">
        <v>0.21052631578947401</v>
      </c>
      <c r="L169" s="146">
        <v>0.36349029705490898</v>
      </c>
      <c r="M169" s="146">
        <v>0.159619610915544</v>
      </c>
      <c r="N169" s="146">
        <v>0.20387068613936599</v>
      </c>
      <c r="O169" s="146">
        <v>0.16589861751152099</v>
      </c>
      <c r="P169" s="146">
        <v>0.119815668202765</v>
      </c>
      <c r="Q169" s="147">
        <v>4.60829493087557E-2</v>
      </c>
    </row>
    <row r="170" spans="2:17" ht="15" customHeight="1" x14ac:dyDescent="0.35">
      <c r="B170" s="140">
        <v>167</v>
      </c>
      <c r="C170" s="135" t="s">
        <v>1901</v>
      </c>
      <c r="D170" s="135" t="s">
        <v>1906</v>
      </c>
      <c r="E170" s="135" t="s">
        <v>1896</v>
      </c>
      <c r="F170" s="135" t="s">
        <v>1904</v>
      </c>
      <c r="G170" s="135" t="s">
        <v>1905</v>
      </c>
      <c r="H170" s="135" t="s">
        <v>1897</v>
      </c>
      <c r="I170" s="146">
        <v>0.565217391304348</v>
      </c>
      <c r="J170" s="146">
        <v>0.52173913043478304</v>
      </c>
      <c r="K170" s="146">
        <v>4.3478260869565202E-2</v>
      </c>
      <c r="L170" s="146">
        <v>0.50882928982105402</v>
      </c>
      <c r="M170" s="146">
        <v>0.44898789570557801</v>
      </c>
      <c r="N170" s="146">
        <v>5.9841394115476301E-2</v>
      </c>
      <c r="O170" s="146">
        <v>0.31226765799256501</v>
      </c>
      <c r="P170" s="146">
        <v>0.141263940520446</v>
      </c>
      <c r="Q170" s="147">
        <v>0.17100371747211901</v>
      </c>
    </row>
    <row r="171" spans="2:17" ht="15" customHeight="1" x14ac:dyDescent="0.35">
      <c r="B171" s="140">
        <v>168</v>
      </c>
      <c r="C171" s="135" t="s">
        <v>1901</v>
      </c>
      <c r="D171" s="135" t="s">
        <v>1908</v>
      </c>
      <c r="E171" s="135" t="s">
        <v>1896</v>
      </c>
      <c r="F171" s="135" t="s">
        <v>1904</v>
      </c>
      <c r="G171" s="135" t="s">
        <v>1905</v>
      </c>
      <c r="H171" s="135" t="s">
        <v>1897</v>
      </c>
      <c r="I171" s="146">
        <v>0.47368421052631599</v>
      </c>
      <c r="J171" s="146">
        <v>0.21052631578947401</v>
      </c>
      <c r="K171" s="146">
        <v>0.26315789473684198</v>
      </c>
      <c r="L171" s="146">
        <v>0.47102192288412398</v>
      </c>
      <c r="M171" s="146">
        <v>0.22268952136015399</v>
      </c>
      <c r="N171" s="146">
        <v>0.24833240152397101</v>
      </c>
      <c r="O171" s="146">
        <v>0.187214611872146</v>
      </c>
      <c r="P171" s="146">
        <v>0.13698630136986301</v>
      </c>
      <c r="Q171" s="147">
        <v>5.0228310502282998E-2</v>
      </c>
    </row>
    <row r="172" spans="2:17" ht="15" customHeight="1" x14ac:dyDescent="0.35">
      <c r="B172" s="140">
        <v>169</v>
      </c>
      <c r="C172" s="135" t="s">
        <v>1901</v>
      </c>
      <c r="D172" s="135" t="s">
        <v>1909</v>
      </c>
      <c r="E172" s="135" t="s">
        <v>1896</v>
      </c>
      <c r="F172" s="135" t="s">
        <v>1904</v>
      </c>
      <c r="G172" s="135" t="s">
        <v>1905</v>
      </c>
      <c r="H172" s="135" t="s">
        <v>1897</v>
      </c>
      <c r="I172" s="146">
        <v>0.5</v>
      </c>
      <c r="J172" s="146">
        <v>0.45454545454545497</v>
      </c>
      <c r="K172" s="146">
        <v>4.5454545454545497E-2</v>
      </c>
      <c r="L172" s="146">
        <v>0.493204106702543</v>
      </c>
      <c r="M172" s="146">
        <v>0.430964388579403</v>
      </c>
      <c r="N172" s="146">
        <v>6.2239718123140102E-2</v>
      </c>
      <c r="O172" s="146">
        <v>0.179824561403509</v>
      </c>
      <c r="P172" s="146">
        <v>0.14912280701754399</v>
      </c>
      <c r="Q172" s="147">
        <v>3.0701754385965001E-2</v>
      </c>
    </row>
    <row r="173" spans="2:17" ht="15" customHeight="1" x14ac:dyDescent="0.35">
      <c r="B173" s="140">
        <v>170</v>
      </c>
      <c r="C173" s="135" t="s">
        <v>1901</v>
      </c>
      <c r="D173" s="135" t="s">
        <v>1910</v>
      </c>
      <c r="E173" s="135" t="s">
        <v>1896</v>
      </c>
      <c r="F173" s="135" t="s">
        <v>1904</v>
      </c>
      <c r="G173" s="135" t="s">
        <v>1905</v>
      </c>
      <c r="H173" s="135" t="s">
        <v>1897</v>
      </c>
      <c r="I173" s="146">
        <v>0.58333333333333304</v>
      </c>
      <c r="J173" s="146">
        <v>0.58333333333333304</v>
      </c>
      <c r="K173" s="146">
        <v>0</v>
      </c>
      <c r="L173" s="146">
        <v>0.49879712854802399</v>
      </c>
      <c r="M173" s="146">
        <v>0.45441928686243099</v>
      </c>
      <c r="N173" s="146">
        <v>4.4377841685593201E-2</v>
      </c>
      <c r="O173" s="146">
        <v>0.31365313653136501</v>
      </c>
      <c r="P173" s="146">
        <v>0.132841328413284</v>
      </c>
      <c r="Q173" s="147">
        <v>0.18081180811808101</v>
      </c>
    </row>
    <row r="174" spans="2:17" ht="15" customHeight="1" x14ac:dyDescent="0.35">
      <c r="B174" s="140">
        <v>171</v>
      </c>
      <c r="C174" s="135" t="s">
        <v>1902</v>
      </c>
      <c r="D174" s="135" t="s">
        <v>1903</v>
      </c>
      <c r="E174" s="135" t="s">
        <v>1896</v>
      </c>
      <c r="F174" s="135" t="s">
        <v>1904</v>
      </c>
      <c r="G174" s="135" t="s">
        <v>1905</v>
      </c>
      <c r="H174" s="135" t="s">
        <v>1897</v>
      </c>
      <c r="I174" s="146">
        <v>0.59090909090909105</v>
      </c>
      <c r="J174" s="146">
        <v>0.36363636363636398</v>
      </c>
      <c r="K174" s="146">
        <v>0.22727272727272699</v>
      </c>
      <c r="L174" s="146">
        <v>0.45187319715875102</v>
      </c>
      <c r="M174" s="146">
        <v>0.27219556143382401</v>
      </c>
      <c r="N174" s="146">
        <v>0.17967763572492701</v>
      </c>
      <c r="O174" s="146">
        <v>0.40377358490566001</v>
      </c>
      <c r="P174" s="146">
        <v>0.271698113207547</v>
      </c>
      <c r="Q174" s="147">
        <v>0.13207547169811301</v>
      </c>
    </row>
    <row r="175" spans="2:17" ht="15" customHeight="1" x14ac:dyDescent="0.35">
      <c r="B175" s="140">
        <v>172</v>
      </c>
      <c r="C175" s="135" t="s">
        <v>1902</v>
      </c>
      <c r="D175" s="135" t="s">
        <v>1906</v>
      </c>
      <c r="E175" s="135" t="s">
        <v>1896</v>
      </c>
      <c r="F175" s="135" t="s">
        <v>1904</v>
      </c>
      <c r="G175" s="135" t="s">
        <v>1905</v>
      </c>
      <c r="H175" s="135" t="s">
        <v>1897</v>
      </c>
      <c r="I175" s="146">
        <v>0.58333333333333304</v>
      </c>
      <c r="J175" s="146">
        <v>0.5</v>
      </c>
      <c r="K175" s="146">
        <v>8.3333333333333301E-2</v>
      </c>
      <c r="L175" s="146">
        <v>0.46400458015928903</v>
      </c>
      <c r="M175" s="146">
        <v>0.415618768821086</v>
      </c>
      <c r="N175" s="146">
        <v>4.8385811338202703E-2</v>
      </c>
      <c r="O175" s="146">
        <v>0.20599250936329599</v>
      </c>
      <c r="P175" s="146">
        <v>0.12734082397003699</v>
      </c>
      <c r="Q175" s="147">
        <v>7.8651685393258397E-2</v>
      </c>
    </row>
    <row r="176" spans="2:17" ht="15" customHeight="1" x14ac:dyDescent="0.35">
      <c r="B176" s="140">
        <v>173</v>
      </c>
      <c r="C176" s="135" t="s">
        <v>1902</v>
      </c>
      <c r="D176" s="135" t="s">
        <v>1908</v>
      </c>
      <c r="E176" s="135" t="s">
        <v>1896</v>
      </c>
      <c r="F176" s="135" t="s">
        <v>1904</v>
      </c>
      <c r="G176" s="135" t="s">
        <v>1905</v>
      </c>
      <c r="H176" s="135" t="s">
        <v>1897</v>
      </c>
      <c r="I176" s="146">
        <v>0.5</v>
      </c>
      <c r="J176" s="146">
        <v>0.2</v>
      </c>
      <c r="K176" s="146">
        <v>0.3</v>
      </c>
      <c r="L176" s="146">
        <v>0.42553022942618202</v>
      </c>
      <c r="M176" s="146">
        <v>0.18307257038456801</v>
      </c>
      <c r="N176" s="146">
        <v>0.24245765904161401</v>
      </c>
      <c r="O176" s="146">
        <v>0.34509803921568599</v>
      </c>
      <c r="P176" s="146">
        <v>0.20392156862745101</v>
      </c>
      <c r="Q176" s="147">
        <v>0.14117647058823499</v>
      </c>
    </row>
    <row r="177" spans="2:17" ht="15" customHeight="1" x14ac:dyDescent="0.35">
      <c r="B177" s="140">
        <v>174</v>
      </c>
      <c r="C177" s="135" t="s">
        <v>1902</v>
      </c>
      <c r="D177" s="135" t="s">
        <v>1909</v>
      </c>
      <c r="E177" s="135" t="s">
        <v>1896</v>
      </c>
      <c r="F177" s="135" t="s">
        <v>1904</v>
      </c>
      <c r="G177" s="135" t="s">
        <v>1905</v>
      </c>
      <c r="H177" s="135" t="s">
        <v>1897</v>
      </c>
      <c r="I177" s="146">
        <v>0.45454545454545497</v>
      </c>
      <c r="J177" s="146">
        <v>0.36363636363636398</v>
      </c>
      <c r="K177" s="146">
        <v>9.0909090909090898E-2</v>
      </c>
      <c r="L177" s="146">
        <v>0.33289534861245801</v>
      </c>
      <c r="M177" s="146">
        <v>0.27841847125542502</v>
      </c>
      <c r="N177" s="146">
        <v>5.4476877357032202E-2</v>
      </c>
      <c r="O177" s="146">
        <v>0.34586466165413499</v>
      </c>
      <c r="P177" s="146">
        <v>0.278195488721804</v>
      </c>
      <c r="Q177" s="147">
        <v>6.7669172932330796E-2</v>
      </c>
    </row>
    <row r="178" spans="2:17" ht="15" customHeight="1" x14ac:dyDescent="0.35">
      <c r="B178" s="140">
        <v>175</v>
      </c>
      <c r="C178" s="135" t="s">
        <v>1902</v>
      </c>
      <c r="D178" s="135" t="s">
        <v>1910</v>
      </c>
      <c r="E178" s="135" t="s">
        <v>1896</v>
      </c>
      <c r="F178" s="135" t="s">
        <v>1904</v>
      </c>
      <c r="G178" s="135" t="s">
        <v>1905</v>
      </c>
      <c r="H178" s="135" t="s">
        <v>1897</v>
      </c>
      <c r="I178" s="146">
        <v>0.6</v>
      </c>
      <c r="J178" s="146">
        <v>0.56000000000000005</v>
      </c>
      <c r="K178" s="146">
        <v>0.04</v>
      </c>
      <c r="L178" s="146">
        <v>0.47094993306663901</v>
      </c>
      <c r="M178" s="146">
        <v>0.43895190113087001</v>
      </c>
      <c r="N178" s="146">
        <v>3.1998031935768799E-2</v>
      </c>
      <c r="O178" s="146">
        <v>0.21481481481481501</v>
      </c>
      <c r="P178" s="146">
        <v>0.125925925925926</v>
      </c>
      <c r="Q178" s="147">
        <v>8.8888888888888906E-2</v>
      </c>
    </row>
    <row r="179" spans="2:17" ht="15" customHeight="1" x14ac:dyDescent="0.35">
      <c r="B179" s="140">
        <v>176</v>
      </c>
      <c r="C179" s="1" t="s">
        <v>1895</v>
      </c>
      <c r="D179" s="1" t="s">
        <v>1911</v>
      </c>
      <c r="E179" s="1" t="s">
        <v>1896</v>
      </c>
      <c r="F179" s="1" t="s">
        <v>1912</v>
      </c>
      <c r="G179" s="1" t="s">
        <v>1913</v>
      </c>
      <c r="H179" s="1" t="s">
        <v>1897</v>
      </c>
      <c r="I179" s="144">
        <v>0.5</v>
      </c>
      <c r="J179" s="144">
        <v>0.46153846153846201</v>
      </c>
      <c r="K179" s="144">
        <v>3.8461538461538498E-2</v>
      </c>
      <c r="L179" s="144">
        <v>0.44730352817870001</v>
      </c>
      <c r="M179" s="144">
        <v>0.40228609751162098</v>
      </c>
      <c r="N179" s="144">
        <v>4.50174306670795E-2</v>
      </c>
      <c r="O179" s="144">
        <v>0.16546762589928099</v>
      </c>
      <c r="P179" s="144">
        <v>0.15827338129496399</v>
      </c>
      <c r="Q179" s="145">
        <v>7.1942446043166E-3</v>
      </c>
    </row>
    <row r="180" spans="2:17" ht="15" customHeight="1" x14ac:dyDescent="0.35">
      <c r="B180" s="140">
        <v>177</v>
      </c>
      <c r="C180" s="1" t="s">
        <v>1895</v>
      </c>
      <c r="D180" s="1" t="s">
        <v>1915</v>
      </c>
      <c r="E180" s="1" t="s">
        <v>1896</v>
      </c>
      <c r="F180" s="1" t="s">
        <v>1912</v>
      </c>
      <c r="G180" s="1" t="s">
        <v>1913</v>
      </c>
      <c r="H180" s="1" t="s">
        <v>1897</v>
      </c>
      <c r="I180" s="144">
        <v>0.55172413793103403</v>
      </c>
      <c r="J180" s="144">
        <v>0.41379310344827602</v>
      </c>
      <c r="K180" s="144">
        <v>0.13793103448275901</v>
      </c>
      <c r="L180" s="144">
        <v>0.49942508040605099</v>
      </c>
      <c r="M180" s="144">
        <v>0.36335724503120898</v>
      </c>
      <c r="N180" s="144">
        <v>0.13606783537484199</v>
      </c>
      <c r="O180" s="144">
        <v>0.20962199312714799</v>
      </c>
      <c r="P180" s="144">
        <v>0.17869415807560099</v>
      </c>
      <c r="Q180" s="145">
        <v>3.09278350515464E-2</v>
      </c>
    </row>
    <row r="181" spans="2:17" ht="15" customHeight="1" x14ac:dyDescent="0.35">
      <c r="B181" s="140">
        <v>178</v>
      </c>
      <c r="C181" s="1" t="s">
        <v>1895</v>
      </c>
      <c r="D181" s="1" t="s">
        <v>1917</v>
      </c>
      <c r="E181" s="1" t="s">
        <v>1896</v>
      </c>
      <c r="F181" s="1" t="s">
        <v>1912</v>
      </c>
      <c r="G181" s="1" t="s">
        <v>1913</v>
      </c>
      <c r="H181" s="1" t="s">
        <v>1897</v>
      </c>
      <c r="I181" s="144">
        <v>0.66666666666666696</v>
      </c>
      <c r="J181" s="144">
        <v>0.6</v>
      </c>
      <c r="K181" s="144">
        <v>6.6666666666666693E-2</v>
      </c>
      <c r="L181" s="144">
        <v>0.53068384979338101</v>
      </c>
      <c r="M181" s="144">
        <v>0.45926737807124202</v>
      </c>
      <c r="N181" s="144">
        <v>7.14164717221384E-2</v>
      </c>
      <c r="O181" s="144">
        <v>0.34563758389261701</v>
      </c>
      <c r="P181" s="144">
        <v>0.28187919463087202</v>
      </c>
      <c r="Q181" s="145">
        <v>6.3758389261744902E-2</v>
      </c>
    </row>
    <row r="182" spans="2:17" ht="15" customHeight="1" x14ac:dyDescent="0.35">
      <c r="B182" s="140">
        <v>179</v>
      </c>
      <c r="C182" s="1" t="s">
        <v>1895</v>
      </c>
      <c r="D182" s="1" t="s">
        <v>1918</v>
      </c>
      <c r="E182" s="1" t="s">
        <v>1896</v>
      </c>
      <c r="F182" s="1" t="s">
        <v>1912</v>
      </c>
      <c r="G182" s="1" t="s">
        <v>1913</v>
      </c>
      <c r="H182" s="1" t="s">
        <v>1897</v>
      </c>
      <c r="I182" s="144">
        <v>0.6875</v>
      </c>
      <c r="J182" s="144">
        <v>0.5625</v>
      </c>
      <c r="K182" s="144">
        <v>0.125</v>
      </c>
      <c r="L182" s="144">
        <v>0.49115937552438899</v>
      </c>
      <c r="M182" s="144">
        <v>0.35970867079623797</v>
      </c>
      <c r="N182" s="144">
        <v>0.13145070472815101</v>
      </c>
      <c r="O182" s="144">
        <v>0.237623762376238</v>
      </c>
      <c r="P182" s="144">
        <v>0.16501650165016499</v>
      </c>
      <c r="Q182" s="145">
        <v>7.2607260726072598E-2</v>
      </c>
    </row>
    <row r="183" spans="2:17" ht="15" customHeight="1" x14ac:dyDescent="0.35">
      <c r="B183" s="140">
        <v>180</v>
      </c>
      <c r="C183" s="1" t="s">
        <v>1895</v>
      </c>
      <c r="D183" s="1" t="s">
        <v>1919</v>
      </c>
      <c r="E183" s="1" t="s">
        <v>1896</v>
      </c>
      <c r="F183" s="1" t="s">
        <v>1912</v>
      </c>
      <c r="G183" s="1" t="s">
        <v>1913</v>
      </c>
      <c r="H183" s="1" t="s">
        <v>1897</v>
      </c>
      <c r="I183" s="144">
        <v>0.58620689655172398</v>
      </c>
      <c r="J183" s="144">
        <v>0.48275862068965503</v>
      </c>
      <c r="K183" s="144">
        <v>0.10344827586206901</v>
      </c>
      <c r="L183" s="144">
        <v>0.42542536526110902</v>
      </c>
      <c r="M183" s="144">
        <v>0.312374932518374</v>
      </c>
      <c r="N183" s="144">
        <v>0.11305043274273401</v>
      </c>
      <c r="O183" s="144">
        <v>0.23129251700680301</v>
      </c>
      <c r="P183" s="144">
        <v>0.20408163265306101</v>
      </c>
      <c r="Q183" s="145">
        <v>2.7210884353741499E-2</v>
      </c>
    </row>
    <row r="184" spans="2:17" ht="15" customHeight="1" x14ac:dyDescent="0.35">
      <c r="B184" s="140">
        <v>181</v>
      </c>
      <c r="C184" s="1" t="s">
        <v>1898</v>
      </c>
      <c r="D184" s="1" t="s">
        <v>1911</v>
      </c>
      <c r="E184" s="1" t="s">
        <v>1896</v>
      </c>
      <c r="F184" s="1" t="s">
        <v>1912</v>
      </c>
      <c r="G184" s="1" t="s">
        <v>1913</v>
      </c>
      <c r="H184" s="1" t="s">
        <v>1897</v>
      </c>
      <c r="I184" s="144">
        <v>0.5</v>
      </c>
      <c r="J184" s="144">
        <v>0.46153846153846201</v>
      </c>
      <c r="K184" s="144">
        <v>3.8461538461538498E-2</v>
      </c>
      <c r="L184" s="144">
        <v>0.40591140480309601</v>
      </c>
      <c r="M184" s="144">
        <v>0.31488676705879998</v>
      </c>
      <c r="N184" s="144">
        <v>9.1024637744296297E-2</v>
      </c>
      <c r="O184" s="144">
        <v>0.183098591549296</v>
      </c>
      <c r="P184" s="144">
        <v>0.154929577464789</v>
      </c>
      <c r="Q184" s="145">
        <v>2.8169014084507098E-2</v>
      </c>
    </row>
    <row r="185" spans="2:17" ht="15" customHeight="1" x14ac:dyDescent="0.35">
      <c r="B185" s="140">
        <v>182</v>
      </c>
      <c r="C185" s="1" t="s">
        <v>1898</v>
      </c>
      <c r="D185" s="1" t="s">
        <v>1915</v>
      </c>
      <c r="E185" s="1" t="s">
        <v>1896</v>
      </c>
      <c r="F185" s="1" t="s">
        <v>1912</v>
      </c>
      <c r="G185" s="1" t="s">
        <v>1913</v>
      </c>
      <c r="H185" s="1" t="s">
        <v>1897</v>
      </c>
      <c r="I185" s="144">
        <v>0.44444444444444398</v>
      </c>
      <c r="J185" s="144">
        <v>0.296296296296296</v>
      </c>
      <c r="K185" s="144">
        <v>0.148148148148148</v>
      </c>
      <c r="L185" s="144">
        <v>0.38493472241953902</v>
      </c>
      <c r="M185" s="144">
        <v>0.19350193619543399</v>
      </c>
      <c r="N185" s="144">
        <v>0.19143278622410501</v>
      </c>
      <c r="O185" s="144">
        <v>0.150877192982456</v>
      </c>
      <c r="P185" s="144">
        <v>0.140350877192983</v>
      </c>
      <c r="Q185" s="145">
        <v>1.05263157894737E-2</v>
      </c>
    </row>
    <row r="186" spans="2:17" ht="15" customHeight="1" x14ac:dyDescent="0.35">
      <c r="B186" s="140">
        <v>183</v>
      </c>
      <c r="C186" s="1" t="s">
        <v>1898</v>
      </c>
      <c r="D186" s="1" t="s">
        <v>1917</v>
      </c>
      <c r="E186" s="1" t="s">
        <v>1896</v>
      </c>
      <c r="F186" s="1" t="s">
        <v>1912</v>
      </c>
      <c r="G186" s="1" t="s">
        <v>1913</v>
      </c>
      <c r="H186" s="1" t="s">
        <v>1897</v>
      </c>
      <c r="I186" s="144">
        <v>0.62068965517241403</v>
      </c>
      <c r="J186" s="144">
        <v>0.55172413793103403</v>
      </c>
      <c r="K186" s="144">
        <v>6.8965517241379296E-2</v>
      </c>
      <c r="L186" s="144">
        <v>0.42836719828384201</v>
      </c>
      <c r="M186" s="144">
        <v>0.30789328156935902</v>
      </c>
      <c r="N186" s="144">
        <v>0.120473916714483</v>
      </c>
      <c r="O186" s="144">
        <v>0.296928327645051</v>
      </c>
      <c r="P186" s="144">
        <v>0.21160409556314</v>
      </c>
      <c r="Q186" s="145">
        <v>8.53242320819112E-2</v>
      </c>
    </row>
    <row r="187" spans="2:17" ht="15" customHeight="1" x14ac:dyDescent="0.35">
      <c r="B187" s="140">
        <v>184</v>
      </c>
      <c r="C187" s="1" t="s">
        <v>1898</v>
      </c>
      <c r="D187" s="1" t="s">
        <v>1918</v>
      </c>
      <c r="E187" s="1" t="s">
        <v>1896</v>
      </c>
      <c r="F187" s="1" t="s">
        <v>1912</v>
      </c>
      <c r="G187" s="1" t="s">
        <v>1913</v>
      </c>
      <c r="H187" s="1" t="s">
        <v>1897</v>
      </c>
      <c r="I187" s="144">
        <v>0.6</v>
      </c>
      <c r="J187" s="144">
        <v>0.46666666666666701</v>
      </c>
      <c r="K187" s="144">
        <v>0.133333333333333</v>
      </c>
      <c r="L187" s="144">
        <v>0.390202845283323</v>
      </c>
      <c r="M187" s="144">
        <v>0.20508713866790099</v>
      </c>
      <c r="N187" s="144">
        <v>0.18511570661542201</v>
      </c>
      <c r="O187" s="144">
        <v>0.18181818181818199</v>
      </c>
      <c r="P187" s="144">
        <v>0.127946127946128</v>
      </c>
      <c r="Q187" s="145">
        <v>5.38720538720538E-2</v>
      </c>
    </row>
    <row r="188" spans="2:17" ht="15" customHeight="1" x14ac:dyDescent="0.35">
      <c r="B188" s="140">
        <v>185</v>
      </c>
      <c r="C188" s="1" t="s">
        <v>1898</v>
      </c>
      <c r="D188" s="1" t="s">
        <v>1919</v>
      </c>
      <c r="E188" s="1" t="s">
        <v>1896</v>
      </c>
      <c r="F188" s="1" t="s">
        <v>1912</v>
      </c>
      <c r="G188" s="1" t="s">
        <v>1913</v>
      </c>
      <c r="H188" s="1" t="s">
        <v>1897</v>
      </c>
      <c r="I188" s="144">
        <v>0.58620689655172398</v>
      </c>
      <c r="J188" s="144">
        <v>0.48275862068965503</v>
      </c>
      <c r="K188" s="144">
        <v>0.10344827586206901</v>
      </c>
      <c r="L188" s="144">
        <v>0.37538511671772201</v>
      </c>
      <c r="M188" s="144">
        <v>0.213328620631103</v>
      </c>
      <c r="N188" s="144">
        <v>0.16205649608661901</v>
      </c>
      <c r="O188" s="144">
        <v>0.18620689655172401</v>
      </c>
      <c r="P188" s="144">
        <v>0.17931034482758601</v>
      </c>
      <c r="Q188" s="145">
        <v>6.8965517241379804E-3</v>
      </c>
    </row>
    <row r="189" spans="2:17" ht="15" customHeight="1" x14ac:dyDescent="0.35">
      <c r="B189" s="140">
        <v>186</v>
      </c>
      <c r="C189" s="1" t="s">
        <v>1900</v>
      </c>
      <c r="D189" s="1" t="s">
        <v>1911</v>
      </c>
      <c r="E189" s="1" t="s">
        <v>1896</v>
      </c>
      <c r="F189" s="1" t="s">
        <v>1912</v>
      </c>
      <c r="G189" s="1" t="s">
        <v>1913</v>
      </c>
      <c r="H189" s="1" t="s">
        <v>1897</v>
      </c>
      <c r="I189" s="144">
        <v>0.62068965517241403</v>
      </c>
      <c r="J189" s="144">
        <v>0.62068965517241403</v>
      </c>
      <c r="K189" s="144">
        <v>0</v>
      </c>
      <c r="L189" s="144">
        <v>0.478534301261204</v>
      </c>
      <c r="M189" s="144">
        <v>0.476205948757151</v>
      </c>
      <c r="N189" s="144">
        <v>2.3283525040525398E-3</v>
      </c>
      <c r="O189" s="144">
        <v>0.19795221843003399</v>
      </c>
      <c r="P189" s="144">
        <v>0.12969283276450499</v>
      </c>
      <c r="Q189" s="145">
        <v>6.8259385665528999E-2</v>
      </c>
    </row>
    <row r="190" spans="2:17" ht="15" customHeight="1" x14ac:dyDescent="0.35">
      <c r="B190" s="140">
        <v>187</v>
      </c>
      <c r="C190" s="1" t="s">
        <v>1900</v>
      </c>
      <c r="D190" s="1" t="s">
        <v>1915</v>
      </c>
      <c r="E190" s="1" t="s">
        <v>1896</v>
      </c>
      <c r="F190" s="1" t="s">
        <v>1912</v>
      </c>
      <c r="G190" s="1" t="s">
        <v>1913</v>
      </c>
      <c r="H190" s="1" t="s">
        <v>1897</v>
      </c>
      <c r="I190" s="144">
        <v>0.56666666666666698</v>
      </c>
      <c r="J190" s="144">
        <v>0.46666666666666701</v>
      </c>
      <c r="K190" s="144">
        <v>0.1</v>
      </c>
      <c r="L190" s="144">
        <v>0.41947264109071503</v>
      </c>
      <c r="M190" s="144">
        <v>0.32413200750381199</v>
      </c>
      <c r="N190" s="144">
        <v>9.5340633586902604E-2</v>
      </c>
      <c r="O190" s="144">
        <v>0.18518518518518501</v>
      </c>
      <c r="P190" s="144">
        <v>0.15488215488215501</v>
      </c>
      <c r="Q190" s="145">
        <v>3.03030303030303E-2</v>
      </c>
    </row>
    <row r="191" spans="2:17" ht="15" customHeight="1" x14ac:dyDescent="0.35">
      <c r="B191" s="140">
        <v>188</v>
      </c>
      <c r="C191" s="1" t="s">
        <v>1900</v>
      </c>
      <c r="D191" s="1" t="s">
        <v>1917</v>
      </c>
      <c r="E191" s="1" t="s">
        <v>1896</v>
      </c>
      <c r="F191" s="1" t="s">
        <v>1912</v>
      </c>
      <c r="G191" s="1" t="s">
        <v>1913</v>
      </c>
      <c r="H191" s="1" t="s">
        <v>1897</v>
      </c>
      <c r="I191" s="144">
        <v>0.63333333333333297</v>
      </c>
      <c r="J191" s="144">
        <v>0.6</v>
      </c>
      <c r="K191" s="144">
        <v>3.3333333333333298E-2</v>
      </c>
      <c r="L191" s="144">
        <v>0.46944563639845999</v>
      </c>
      <c r="M191" s="144">
        <v>0.44172719666691201</v>
      </c>
      <c r="N191" s="144">
        <v>2.7718439731547501E-2</v>
      </c>
      <c r="O191" s="144">
        <v>0.29096989966555198</v>
      </c>
      <c r="P191" s="144">
        <v>0.167224080267559</v>
      </c>
      <c r="Q191" s="145">
        <v>0.12374581939799301</v>
      </c>
    </row>
    <row r="192" spans="2:17" ht="15" customHeight="1" x14ac:dyDescent="0.35">
      <c r="B192" s="140">
        <v>189</v>
      </c>
      <c r="C192" s="1" t="s">
        <v>1900</v>
      </c>
      <c r="D192" s="1" t="s">
        <v>1918</v>
      </c>
      <c r="E192" s="1" t="s">
        <v>1896</v>
      </c>
      <c r="F192" s="1" t="s">
        <v>1912</v>
      </c>
      <c r="G192" s="1" t="s">
        <v>1913</v>
      </c>
      <c r="H192" s="1" t="s">
        <v>1897</v>
      </c>
      <c r="I192" s="144">
        <v>0.61290322580645196</v>
      </c>
      <c r="J192" s="144">
        <v>0.51612903225806495</v>
      </c>
      <c r="K192" s="144">
        <v>9.6774193548387094E-2</v>
      </c>
      <c r="L192" s="144">
        <v>0.404449399305159</v>
      </c>
      <c r="M192" s="144">
        <v>0.31390319128191702</v>
      </c>
      <c r="N192" s="144">
        <v>9.0546208023241995E-2</v>
      </c>
      <c r="O192" s="144">
        <v>0.15384615384615399</v>
      </c>
      <c r="P192" s="144">
        <v>0.14046822742474899</v>
      </c>
      <c r="Q192" s="145">
        <v>1.3377926421404601E-2</v>
      </c>
    </row>
    <row r="193" spans="2:17" ht="15" customHeight="1" x14ac:dyDescent="0.35">
      <c r="B193" s="140">
        <v>190</v>
      </c>
      <c r="C193" s="1" t="s">
        <v>1900</v>
      </c>
      <c r="D193" s="1" t="s">
        <v>1919</v>
      </c>
      <c r="E193" s="1" t="s">
        <v>1896</v>
      </c>
      <c r="F193" s="1" t="s">
        <v>1912</v>
      </c>
      <c r="G193" s="1" t="s">
        <v>1913</v>
      </c>
      <c r="H193" s="1" t="s">
        <v>1897</v>
      </c>
      <c r="I193" s="144">
        <v>0.6</v>
      </c>
      <c r="J193" s="144">
        <v>0.53333333333333299</v>
      </c>
      <c r="K193" s="144">
        <v>6.6666666666666693E-2</v>
      </c>
      <c r="L193" s="144">
        <v>0.43284889993710302</v>
      </c>
      <c r="M193" s="144">
        <v>0.36802205497811102</v>
      </c>
      <c r="N193" s="144">
        <v>6.4826844958991603E-2</v>
      </c>
      <c r="O193" s="144">
        <v>0.17627118644067799</v>
      </c>
      <c r="P193" s="144">
        <v>0.14237288135593201</v>
      </c>
      <c r="Q193" s="145">
        <v>3.38983050847457E-2</v>
      </c>
    </row>
    <row r="194" spans="2:17" ht="15" customHeight="1" x14ac:dyDescent="0.35">
      <c r="B194" s="140">
        <v>191</v>
      </c>
      <c r="C194" s="1" t="s">
        <v>1901</v>
      </c>
      <c r="D194" s="1" t="s">
        <v>1911</v>
      </c>
      <c r="E194" s="1" t="s">
        <v>1896</v>
      </c>
      <c r="F194" s="1" t="s">
        <v>1912</v>
      </c>
      <c r="G194" s="1" t="s">
        <v>1913</v>
      </c>
      <c r="H194" s="1" t="s">
        <v>1897</v>
      </c>
      <c r="I194" s="144">
        <v>0.62962962962962998</v>
      </c>
      <c r="J194" s="144">
        <v>0.51851851851851805</v>
      </c>
      <c r="K194" s="144">
        <v>0.11111111111111099</v>
      </c>
      <c r="L194" s="144">
        <v>0.590783252824434</v>
      </c>
      <c r="M194" s="144">
        <v>0.526351199276058</v>
      </c>
      <c r="N194" s="144">
        <v>6.4432053548376306E-2</v>
      </c>
      <c r="O194" s="144">
        <v>0.39860139860139898</v>
      </c>
      <c r="P194" s="144">
        <v>0.223776223776224</v>
      </c>
      <c r="Q194" s="145">
        <v>0.17482517482517501</v>
      </c>
    </row>
    <row r="195" spans="2:17" ht="15" customHeight="1" x14ac:dyDescent="0.35">
      <c r="B195" s="140">
        <v>192</v>
      </c>
      <c r="C195" s="1" t="s">
        <v>1901</v>
      </c>
      <c r="D195" s="1" t="s">
        <v>1915</v>
      </c>
      <c r="E195" s="1" t="s">
        <v>1896</v>
      </c>
      <c r="F195" s="1" t="s">
        <v>1912</v>
      </c>
      <c r="G195" s="1" t="s">
        <v>1913</v>
      </c>
      <c r="H195" s="1" t="s">
        <v>1897</v>
      </c>
      <c r="I195" s="144">
        <v>0.57142857142857095</v>
      </c>
      <c r="J195" s="144">
        <v>0.35714285714285698</v>
      </c>
      <c r="K195" s="144">
        <v>0.214285714285714</v>
      </c>
      <c r="L195" s="144">
        <v>0.50636719626944204</v>
      </c>
      <c r="M195" s="144">
        <v>0.346152319956335</v>
      </c>
      <c r="N195" s="144">
        <v>0.16021487631310699</v>
      </c>
      <c r="O195" s="144">
        <v>0.36013986013985999</v>
      </c>
      <c r="P195" s="144">
        <v>0.14685314685314699</v>
      </c>
      <c r="Q195" s="145">
        <v>0.213286713286713</v>
      </c>
    </row>
    <row r="196" spans="2:17" ht="15" customHeight="1" x14ac:dyDescent="0.35">
      <c r="B196" s="140">
        <v>193</v>
      </c>
      <c r="C196" s="1" t="s">
        <v>1901</v>
      </c>
      <c r="D196" s="1" t="s">
        <v>1917</v>
      </c>
      <c r="E196" s="1" t="s">
        <v>1896</v>
      </c>
      <c r="F196" s="1" t="s">
        <v>1912</v>
      </c>
      <c r="G196" s="1" t="s">
        <v>1913</v>
      </c>
      <c r="H196" s="1" t="s">
        <v>1897</v>
      </c>
      <c r="I196" s="144">
        <v>0.73333333333333295</v>
      </c>
      <c r="J196" s="144">
        <v>0.6</v>
      </c>
      <c r="K196" s="144">
        <v>0.133333333333333</v>
      </c>
      <c r="L196" s="144">
        <v>0.59554735100991996</v>
      </c>
      <c r="M196" s="144">
        <v>0.50383223030296898</v>
      </c>
      <c r="N196" s="144">
        <v>9.1715120706950801E-2</v>
      </c>
      <c r="O196" s="144">
        <v>0.53488372093023295</v>
      </c>
      <c r="P196" s="144">
        <v>0.42524916943521601</v>
      </c>
      <c r="Q196" s="145">
        <v>0.109634551495017</v>
      </c>
    </row>
    <row r="197" spans="2:17" ht="15" customHeight="1" x14ac:dyDescent="0.35">
      <c r="B197" s="140">
        <v>194</v>
      </c>
      <c r="C197" s="1" t="s">
        <v>1901</v>
      </c>
      <c r="D197" s="1" t="s">
        <v>1918</v>
      </c>
      <c r="E197" s="1" t="s">
        <v>1896</v>
      </c>
      <c r="F197" s="1" t="s">
        <v>1912</v>
      </c>
      <c r="G197" s="1" t="s">
        <v>1913</v>
      </c>
      <c r="H197" s="1" t="s">
        <v>1897</v>
      </c>
      <c r="I197" s="144">
        <v>0.66666666666666696</v>
      </c>
      <c r="J197" s="144">
        <v>0.46666666666666701</v>
      </c>
      <c r="K197" s="144">
        <v>0.2</v>
      </c>
      <c r="L197" s="144">
        <v>0.56587007298867698</v>
      </c>
      <c r="M197" s="144">
        <v>0.41712211190559501</v>
      </c>
      <c r="N197" s="144">
        <v>0.148747961083082</v>
      </c>
      <c r="O197" s="144">
        <v>0.40924092409240898</v>
      </c>
      <c r="P197" s="144">
        <v>0.16501650165016499</v>
      </c>
      <c r="Q197" s="145">
        <v>0.24422442244224399</v>
      </c>
    </row>
    <row r="198" spans="2:17" ht="15" customHeight="1" x14ac:dyDescent="0.35">
      <c r="B198" s="140">
        <v>195</v>
      </c>
      <c r="C198" s="1" t="s">
        <v>1901</v>
      </c>
      <c r="D198" s="1" t="s">
        <v>1919</v>
      </c>
      <c r="E198" s="1" t="s">
        <v>1896</v>
      </c>
      <c r="F198" s="1" t="s">
        <v>1912</v>
      </c>
      <c r="G198" s="1" t="s">
        <v>1913</v>
      </c>
      <c r="H198" s="1" t="s">
        <v>1897</v>
      </c>
      <c r="I198" s="144">
        <v>0.60714285714285698</v>
      </c>
      <c r="J198" s="144">
        <v>0.42857142857142899</v>
      </c>
      <c r="K198" s="144">
        <v>0.17857142857142899</v>
      </c>
      <c r="L198" s="144">
        <v>0.54302219499175297</v>
      </c>
      <c r="M198" s="144">
        <v>0.41416401006624098</v>
      </c>
      <c r="N198" s="144">
        <v>0.12885818492551199</v>
      </c>
      <c r="O198" s="144">
        <v>0.42953020134228198</v>
      </c>
      <c r="P198" s="144">
        <v>0.228187919463087</v>
      </c>
      <c r="Q198" s="145">
        <v>0.20134228187919501</v>
      </c>
    </row>
    <row r="199" spans="2:17" ht="15" customHeight="1" x14ac:dyDescent="0.35">
      <c r="B199" s="140">
        <v>196</v>
      </c>
      <c r="C199" s="1" t="s">
        <v>1902</v>
      </c>
      <c r="D199" s="1" t="s">
        <v>1911</v>
      </c>
      <c r="E199" s="1" t="s">
        <v>1896</v>
      </c>
      <c r="F199" s="1" t="s">
        <v>1912</v>
      </c>
      <c r="G199" s="1" t="s">
        <v>1913</v>
      </c>
      <c r="H199" s="1" t="s">
        <v>1897</v>
      </c>
      <c r="I199" s="144">
        <v>0.48</v>
      </c>
      <c r="J199" s="144">
        <v>0.4</v>
      </c>
      <c r="K199" s="144">
        <v>0.08</v>
      </c>
      <c r="L199" s="144">
        <v>0.352587182415738</v>
      </c>
      <c r="M199" s="144">
        <v>0.26306586171737101</v>
      </c>
      <c r="N199" s="144">
        <v>8.95213206983662E-2</v>
      </c>
      <c r="O199" s="144">
        <v>0.204460966542751</v>
      </c>
      <c r="P199" s="144">
        <v>0.111524163568773</v>
      </c>
      <c r="Q199" s="145">
        <v>9.2936802973977606E-2</v>
      </c>
    </row>
    <row r="200" spans="2:17" ht="15" customHeight="1" x14ac:dyDescent="0.35">
      <c r="B200" s="140">
        <v>197</v>
      </c>
      <c r="C200" s="1" t="s">
        <v>1902</v>
      </c>
      <c r="D200" s="1" t="s">
        <v>1915</v>
      </c>
      <c r="E200" s="1" t="s">
        <v>1896</v>
      </c>
      <c r="F200" s="1" t="s">
        <v>1912</v>
      </c>
      <c r="G200" s="1" t="s">
        <v>1913</v>
      </c>
      <c r="H200" s="1" t="s">
        <v>1897</v>
      </c>
      <c r="I200" s="144">
        <v>0.58620689655172398</v>
      </c>
      <c r="J200" s="144">
        <v>0.41379310344827602</v>
      </c>
      <c r="K200" s="144">
        <v>0.17241379310344801</v>
      </c>
      <c r="L200" s="144">
        <v>0.51547268679604197</v>
      </c>
      <c r="M200" s="144">
        <v>0.34356732671435602</v>
      </c>
      <c r="N200" s="144">
        <v>0.171905360081686</v>
      </c>
      <c r="O200" s="144">
        <v>0.30240549828178698</v>
      </c>
      <c r="P200" s="144">
        <v>0.17869415807560099</v>
      </c>
      <c r="Q200" s="145">
        <v>0.123711340206186</v>
      </c>
    </row>
    <row r="201" spans="2:17" ht="15" customHeight="1" x14ac:dyDescent="0.35">
      <c r="B201" s="140">
        <v>198</v>
      </c>
      <c r="C201" s="1" t="s">
        <v>1902</v>
      </c>
      <c r="D201" s="1" t="s">
        <v>1917</v>
      </c>
      <c r="E201" s="1" t="s">
        <v>1896</v>
      </c>
      <c r="F201" s="1" t="s">
        <v>1912</v>
      </c>
      <c r="G201" s="1" t="s">
        <v>1913</v>
      </c>
      <c r="H201" s="1" t="s">
        <v>1897</v>
      </c>
      <c r="I201" s="144">
        <v>0.60714285714285698</v>
      </c>
      <c r="J201" s="144">
        <v>0.5</v>
      </c>
      <c r="K201" s="144">
        <v>0.107142857142857</v>
      </c>
      <c r="L201" s="144">
        <v>0.52277394761598495</v>
      </c>
      <c r="M201" s="144">
        <v>0.41360467197131101</v>
      </c>
      <c r="N201" s="144">
        <v>0.109169275644674</v>
      </c>
      <c r="O201" s="144">
        <v>0.25468164794007497</v>
      </c>
      <c r="P201" s="144">
        <v>0.224719101123595</v>
      </c>
      <c r="Q201" s="145">
        <v>2.9962546816479401E-2</v>
      </c>
    </row>
    <row r="202" spans="2:17" ht="15" customHeight="1" x14ac:dyDescent="0.35">
      <c r="B202" s="140">
        <v>199</v>
      </c>
      <c r="C202" s="1" t="s">
        <v>1902</v>
      </c>
      <c r="D202" s="1" t="s">
        <v>1918</v>
      </c>
      <c r="E202" s="1" t="s">
        <v>1896</v>
      </c>
      <c r="F202" s="1" t="s">
        <v>1912</v>
      </c>
      <c r="G202" s="1" t="s">
        <v>1913</v>
      </c>
      <c r="H202" s="1" t="s">
        <v>1897</v>
      </c>
      <c r="I202" s="144">
        <v>0.63333333333333297</v>
      </c>
      <c r="J202" s="144">
        <v>0.46666666666666701</v>
      </c>
      <c r="K202" s="144">
        <v>0.16666666666666699</v>
      </c>
      <c r="L202" s="144">
        <v>0.45681581018829098</v>
      </c>
      <c r="M202" s="144">
        <v>0.28357867909913298</v>
      </c>
      <c r="N202" s="144">
        <v>0.173237131089158</v>
      </c>
      <c r="O202" s="144">
        <v>0.30434782608695699</v>
      </c>
      <c r="P202" s="144">
        <v>0.14046822742474899</v>
      </c>
      <c r="Q202" s="145">
        <v>0.163879598662207</v>
      </c>
    </row>
    <row r="203" spans="2:17" ht="15" customHeight="1" x14ac:dyDescent="0.35">
      <c r="B203" s="140">
        <v>200</v>
      </c>
      <c r="C203" s="1" t="s">
        <v>1902</v>
      </c>
      <c r="D203" s="1" t="s">
        <v>1919</v>
      </c>
      <c r="E203" s="1" t="s">
        <v>1896</v>
      </c>
      <c r="F203" s="1" t="s">
        <v>1912</v>
      </c>
      <c r="G203" s="1" t="s">
        <v>1913</v>
      </c>
      <c r="H203" s="1" t="s">
        <v>1897</v>
      </c>
      <c r="I203" s="144">
        <v>0.51851851851851805</v>
      </c>
      <c r="J203" s="144">
        <v>0.37037037037037002</v>
      </c>
      <c r="K203" s="144">
        <v>0.148148148148148</v>
      </c>
      <c r="L203" s="144">
        <v>0.37021942591277301</v>
      </c>
      <c r="M203" s="144">
        <v>0.212117501514797</v>
      </c>
      <c r="N203" s="144">
        <v>0.15810192439797499</v>
      </c>
      <c r="O203" s="144">
        <v>0.25795053003533602</v>
      </c>
      <c r="P203" s="144">
        <v>0.13427561837455801</v>
      </c>
      <c r="Q203" s="145">
        <v>0.123674911660777</v>
      </c>
    </row>
    <row r="204" spans="2:17" ht="15" customHeight="1" x14ac:dyDescent="0.35">
      <c r="B204" s="140">
        <v>201</v>
      </c>
      <c r="C204" s="135" t="s">
        <v>1895</v>
      </c>
      <c r="D204" s="135" t="s">
        <v>1920</v>
      </c>
      <c r="E204" s="135" t="s">
        <v>1896</v>
      </c>
      <c r="F204" s="135" t="s">
        <v>1921</v>
      </c>
      <c r="G204" s="135" t="s">
        <v>1922</v>
      </c>
      <c r="H204" s="135" t="s">
        <v>1897</v>
      </c>
      <c r="I204" s="146">
        <v>0.60714285714285698</v>
      </c>
      <c r="J204" s="146">
        <v>0.57142857142857095</v>
      </c>
      <c r="K204" s="146">
        <v>3.5714285714285698E-2</v>
      </c>
      <c r="L204" s="146">
        <v>0.47780690739048298</v>
      </c>
      <c r="M204" s="146">
        <v>0.388914497545155</v>
      </c>
      <c r="N204" s="146">
        <v>8.8892409845327994E-2</v>
      </c>
      <c r="O204" s="146">
        <v>0.14134275618374501</v>
      </c>
      <c r="P204" s="146">
        <v>9.1872791519434505E-2</v>
      </c>
      <c r="Q204" s="147">
        <v>4.9469964664311E-2</v>
      </c>
    </row>
    <row r="205" spans="2:17" ht="15" customHeight="1" x14ac:dyDescent="0.35">
      <c r="B205" s="140">
        <v>202</v>
      </c>
      <c r="C205" s="135" t="s">
        <v>1895</v>
      </c>
      <c r="D205" s="135" t="s">
        <v>1925</v>
      </c>
      <c r="E205" s="135" t="s">
        <v>1896</v>
      </c>
      <c r="F205" s="135" t="s">
        <v>1921</v>
      </c>
      <c r="G205" s="135" t="s">
        <v>1922</v>
      </c>
      <c r="H205" s="135" t="s">
        <v>1897</v>
      </c>
      <c r="I205" s="146">
        <v>0.56666666666666698</v>
      </c>
      <c r="J205" s="146">
        <v>0.4</v>
      </c>
      <c r="K205" s="146">
        <v>0.16666666666666699</v>
      </c>
      <c r="L205" s="146">
        <v>0.46065786738287801</v>
      </c>
      <c r="M205" s="146">
        <v>0.28238682800760601</v>
      </c>
      <c r="N205" s="146">
        <v>0.178271039375272</v>
      </c>
      <c r="O205" s="146">
        <v>0.213286713286713</v>
      </c>
      <c r="P205" s="146">
        <v>0.20979020979021001</v>
      </c>
      <c r="Q205" s="147">
        <v>3.4965034965034501E-3</v>
      </c>
    </row>
    <row r="206" spans="2:17" ht="15" customHeight="1" x14ac:dyDescent="0.35">
      <c r="B206" s="140">
        <v>203</v>
      </c>
      <c r="C206" s="135" t="s">
        <v>1895</v>
      </c>
      <c r="D206" s="135" t="s">
        <v>1927</v>
      </c>
      <c r="E206" s="135" t="s">
        <v>1896</v>
      </c>
      <c r="F206" s="135" t="s">
        <v>1921</v>
      </c>
      <c r="G206" s="135" t="s">
        <v>1922</v>
      </c>
      <c r="H206" s="135" t="s">
        <v>1897</v>
      </c>
      <c r="I206" s="146">
        <v>0.73333333333333295</v>
      </c>
      <c r="J206" s="146">
        <v>0.73333333333333295</v>
      </c>
      <c r="K206" s="146">
        <v>0</v>
      </c>
      <c r="L206" s="146">
        <v>0.60212753061493496</v>
      </c>
      <c r="M206" s="146">
        <v>0.58992403921352099</v>
      </c>
      <c r="N206" s="146">
        <v>1.2203491401413901E-2</v>
      </c>
      <c r="O206" s="146">
        <v>0.38408304498269902</v>
      </c>
      <c r="P206" s="146">
        <v>0.228373702422145</v>
      </c>
      <c r="Q206" s="147">
        <v>0.15570934256055399</v>
      </c>
    </row>
    <row r="207" spans="2:17" ht="15" customHeight="1" x14ac:dyDescent="0.35">
      <c r="B207" s="140">
        <v>204</v>
      </c>
      <c r="C207" s="135" t="s">
        <v>1895</v>
      </c>
      <c r="D207" s="135" t="s">
        <v>1928</v>
      </c>
      <c r="E207" s="135" t="s">
        <v>1896</v>
      </c>
      <c r="F207" s="135" t="s">
        <v>1921</v>
      </c>
      <c r="G207" s="135" t="s">
        <v>1922</v>
      </c>
      <c r="H207" s="135" t="s">
        <v>1897</v>
      </c>
      <c r="I207" s="146">
        <v>0.58620689655172398</v>
      </c>
      <c r="J207" s="146">
        <v>0.48275862068965503</v>
      </c>
      <c r="K207" s="146">
        <v>0.10344827586206901</v>
      </c>
      <c r="L207" s="146">
        <v>0.43068397290573501</v>
      </c>
      <c r="M207" s="146">
        <v>0.294982301281078</v>
      </c>
      <c r="N207" s="146">
        <v>0.13570167162465699</v>
      </c>
      <c r="O207" s="146">
        <v>0.201413427561837</v>
      </c>
      <c r="P207" s="146">
        <v>0.190812720848057</v>
      </c>
      <c r="Q207" s="147">
        <v>1.06007067137809E-2</v>
      </c>
    </row>
    <row r="208" spans="2:17" ht="15" customHeight="1" x14ac:dyDescent="0.35">
      <c r="B208" s="140">
        <v>205</v>
      </c>
      <c r="C208" s="135" t="s">
        <v>1895</v>
      </c>
      <c r="D208" s="135" t="s">
        <v>1929</v>
      </c>
      <c r="E208" s="135" t="s">
        <v>1896</v>
      </c>
      <c r="F208" s="135" t="s">
        <v>1921</v>
      </c>
      <c r="G208" s="135" t="s">
        <v>1922</v>
      </c>
      <c r="H208" s="135" t="s">
        <v>1897</v>
      </c>
      <c r="I208" s="146">
        <v>0.61538461538461497</v>
      </c>
      <c r="J208" s="146">
        <v>0.53846153846153799</v>
      </c>
      <c r="K208" s="146">
        <v>7.69230769230769E-2</v>
      </c>
      <c r="L208" s="146">
        <v>0.50862331268181604</v>
      </c>
      <c r="M208" s="146">
        <v>0.452248086300719</v>
      </c>
      <c r="N208" s="146">
        <v>5.6375226381097099E-2</v>
      </c>
      <c r="O208" s="146">
        <v>0.33096085409252701</v>
      </c>
      <c r="P208" s="146">
        <v>0.17793594306049801</v>
      </c>
      <c r="Q208" s="147">
        <v>0.153024911032029</v>
      </c>
    </row>
    <row r="209" spans="2:17" ht="15" customHeight="1" x14ac:dyDescent="0.35">
      <c r="B209" s="140">
        <v>206</v>
      </c>
      <c r="C209" s="135" t="s">
        <v>1898</v>
      </c>
      <c r="D209" s="135" t="s">
        <v>1920</v>
      </c>
      <c r="E209" s="135" t="s">
        <v>1896</v>
      </c>
      <c r="F209" s="135" t="s">
        <v>1921</v>
      </c>
      <c r="G209" s="135" t="s">
        <v>1922</v>
      </c>
      <c r="H209" s="135" t="s">
        <v>1897</v>
      </c>
      <c r="I209" s="146">
        <v>0.5</v>
      </c>
      <c r="J209" s="146">
        <v>0.46153846153846201</v>
      </c>
      <c r="K209" s="146">
        <v>3.8461538461538498E-2</v>
      </c>
      <c r="L209" s="146">
        <v>0.36766422422533601</v>
      </c>
      <c r="M209" s="146">
        <v>0.22661338810835099</v>
      </c>
      <c r="N209" s="146">
        <v>0.14105083611698499</v>
      </c>
      <c r="O209" s="146">
        <v>0.146341463414634</v>
      </c>
      <c r="P209" s="146">
        <v>0.118466898954704</v>
      </c>
      <c r="Q209" s="147">
        <v>2.78745644599304E-2</v>
      </c>
    </row>
    <row r="210" spans="2:17" ht="15" customHeight="1" x14ac:dyDescent="0.35">
      <c r="B210" s="140">
        <v>207</v>
      </c>
      <c r="C210" s="135" t="s">
        <v>1898</v>
      </c>
      <c r="D210" s="135" t="s">
        <v>1925</v>
      </c>
      <c r="E210" s="135" t="s">
        <v>1896</v>
      </c>
      <c r="F210" s="135" t="s">
        <v>1921</v>
      </c>
      <c r="G210" s="135" t="s">
        <v>1922</v>
      </c>
      <c r="H210" s="135" t="s">
        <v>1897</v>
      </c>
      <c r="I210" s="146">
        <v>0.56666666666666698</v>
      </c>
      <c r="J210" s="146">
        <v>0.4</v>
      </c>
      <c r="K210" s="146">
        <v>0.16666666666666699</v>
      </c>
      <c r="L210" s="146">
        <v>0.496436378287542</v>
      </c>
      <c r="M210" s="146">
        <v>0.28067964145185498</v>
      </c>
      <c r="N210" s="146">
        <v>0.215756736835687</v>
      </c>
      <c r="O210" s="146">
        <v>0.22945205479451999</v>
      </c>
      <c r="P210" s="146">
        <v>0.20547945205479401</v>
      </c>
      <c r="Q210" s="147">
        <v>2.3972602739725998E-2</v>
      </c>
    </row>
    <row r="211" spans="2:17" ht="15" customHeight="1" x14ac:dyDescent="0.35">
      <c r="B211" s="140">
        <v>208</v>
      </c>
      <c r="C211" s="135" t="s">
        <v>1898</v>
      </c>
      <c r="D211" s="135" t="s">
        <v>1927</v>
      </c>
      <c r="E211" s="135" t="s">
        <v>1896</v>
      </c>
      <c r="F211" s="135" t="s">
        <v>1921</v>
      </c>
      <c r="G211" s="135" t="s">
        <v>1922</v>
      </c>
      <c r="H211" s="135" t="s">
        <v>1897</v>
      </c>
      <c r="I211" s="146">
        <v>0.68965517241379304</v>
      </c>
      <c r="J211" s="146">
        <v>0.68965517241379304</v>
      </c>
      <c r="K211" s="146">
        <v>0</v>
      </c>
      <c r="L211" s="146">
        <v>0.56641172715310995</v>
      </c>
      <c r="M211" s="146">
        <v>0.538557619729647</v>
      </c>
      <c r="N211" s="146">
        <v>2.78541074234636E-2</v>
      </c>
      <c r="O211" s="146">
        <v>0.391156462585034</v>
      </c>
      <c r="P211" s="146">
        <v>0.21768707482993199</v>
      </c>
      <c r="Q211" s="147">
        <v>0.17346938775510201</v>
      </c>
    </row>
    <row r="212" spans="2:17" ht="15" customHeight="1" x14ac:dyDescent="0.35">
      <c r="B212" s="140">
        <v>209</v>
      </c>
      <c r="C212" s="135" t="s">
        <v>1898</v>
      </c>
      <c r="D212" s="135" t="s">
        <v>1928</v>
      </c>
      <c r="E212" s="135" t="s">
        <v>1896</v>
      </c>
      <c r="F212" s="135" t="s">
        <v>1921</v>
      </c>
      <c r="G212" s="135" t="s">
        <v>1922</v>
      </c>
      <c r="H212" s="135" t="s">
        <v>1897</v>
      </c>
      <c r="I212" s="146">
        <v>0.63333333333333297</v>
      </c>
      <c r="J212" s="146">
        <v>0.53333333333333299</v>
      </c>
      <c r="K212" s="146">
        <v>0.1</v>
      </c>
      <c r="L212" s="146">
        <v>0.52362137752327198</v>
      </c>
      <c r="M212" s="146">
        <v>0.35479987835113402</v>
      </c>
      <c r="N212" s="146">
        <v>0.16882149917213801</v>
      </c>
      <c r="O212" s="146">
        <v>0.24829931972789099</v>
      </c>
      <c r="P212" s="146">
        <v>0.21768707482993199</v>
      </c>
      <c r="Q212" s="147">
        <v>3.06122448979592E-2</v>
      </c>
    </row>
    <row r="213" spans="2:17" ht="15" customHeight="1" x14ac:dyDescent="0.35">
      <c r="B213" s="140">
        <v>210</v>
      </c>
      <c r="C213" s="135" t="s">
        <v>1898</v>
      </c>
      <c r="D213" s="135" t="s">
        <v>1929</v>
      </c>
      <c r="E213" s="135" t="s">
        <v>1896</v>
      </c>
      <c r="F213" s="135" t="s">
        <v>1921</v>
      </c>
      <c r="G213" s="135" t="s">
        <v>1922</v>
      </c>
      <c r="H213" s="135" t="s">
        <v>1897</v>
      </c>
      <c r="I213" s="146">
        <v>0.66666666666666696</v>
      </c>
      <c r="J213" s="146">
        <v>0.592592592592593</v>
      </c>
      <c r="K213" s="146">
        <v>7.4074074074074098E-2</v>
      </c>
      <c r="L213" s="146">
        <v>0.57940447994160305</v>
      </c>
      <c r="M213" s="146">
        <v>0.56568698206892398</v>
      </c>
      <c r="N213" s="146">
        <v>1.37174978726783E-2</v>
      </c>
      <c r="O213" s="146">
        <v>0.37328767123287698</v>
      </c>
      <c r="P213" s="146">
        <v>0.20547945205479501</v>
      </c>
      <c r="Q213" s="147">
        <v>0.167808219178082</v>
      </c>
    </row>
    <row r="214" spans="2:17" ht="15" customHeight="1" x14ac:dyDescent="0.35">
      <c r="B214" s="140">
        <v>211</v>
      </c>
      <c r="C214" s="135" t="s">
        <v>1900</v>
      </c>
      <c r="D214" s="135" t="s">
        <v>1920</v>
      </c>
      <c r="E214" s="135" t="s">
        <v>1896</v>
      </c>
      <c r="F214" s="135" t="s">
        <v>1921</v>
      </c>
      <c r="G214" s="135" t="s">
        <v>1922</v>
      </c>
      <c r="H214" s="135" t="s">
        <v>1897</v>
      </c>
      <c r="I214" s="146">
        <v>0.57142857142857095</v>
      </c>
      <c r="J214" s="146">
        <v>0.57142857142857095</v>
      </c>
      <c r="K214" s="146">
        <v>0</v>
      </c>
      <c r="L214" s="146">
        <v>0.48797936101672901</v>
      </c>
      <c r="M214" s="146">
        <v>0.44575570225988898</v>
      </c>
      <c r="N214" s="146">
        <v>4.2223658756839498E-2</v>
      </c>
      <c r="O214" s="146">
        <v>0.18666666666666701</v>
      </c>
      <c r="P214" s="146">
        <v>0.17333333333333301</v>
      </c>
      <c r="Q214" s="147">
        <v>1.3333333333333299E-2</v>
      </c>
    </row>
    <row r="215" spans="2:17" ht="15" customHeight="1" x14ac:dyDescent="0.35">
      <c r="B215" s="140">
        <v>212</v>
      </c>
      <c r="C215" s="135" t="s">
        <v>1900</v>
      </c>
      <c r="D215" s="135" t="s">
        <v>1925</v>
      </c>
      <c r="E215" s="135" t="s">
        <v>1896</v>
      </c>
      <c r="F215" s="135" t="s">
        <v>1921</v>
      </c>
      <c r="G215" s="135" t="s">
        <v>1922</v>
      </c>
      <c r="H215" s="135" t="s">
        <v>1897</v>
      </c>
      <c r="I215" s="146">
        <v>0.66666666666666696</v>
      </c>
      <c r="J215" s="146">
        <v>0.54545454545454497</v>
      </c>
      <c r="K215" s="146">
        <v>0.12121212121212099</v>
      </c>
      <c r="L215" s="146">
        <v>0.58439375302582997</v>
      </c>
      <c r="M215" s="146">
        <v>0.46323147349281002</v>
      </c>
      <c r="N215" s="146">
        <v>0.121162279533019</v>
      </c>
      <c r="O215" s="146">
        <v>0.27124183006535901</v>
      </c>
      <c r="P215" s="146">
        <v>0.20915032679738599</v>
      </c>
      <c r="Q215" s="147">
        <v>6.2091503267973802E-2</v>
      </c>
    </row>
    <row r="216" spans="2:17" ht="15" customHeight="1" x14ac:dyDescent="0.35">
      <c r="B216" s="140">
        <v>213</v>
      </c>
      <c r="C216" s="135" t="s">
        <v>1900</v>
      </c>
      <c r="D216" s="135" t="s">
        <v>1927</v>
      </c>
      <c r="E216" s="135" t="s">
        <v>1896</v>
      </c>
      <c r="F216" s="135" t="s">
        <v>1921</v>
      </c>
      <c r="G216" s="135" t="s">
        <v>1922</v>
      </c>
      <c r="H216" s="135" t="s">
        <v>1897</v>
      </c>
      <c r="I216" s="146">
        <v>0.74193548387096797</v>
      </c>
      <c r="J216" s="146">
        <v>0.70967741935483897</v>
      </c>
      <c r="K216" s="146">
        <v>3.2258064516128997E-2</v>
      </c>
      <c r="L216" s="146">
        <v>0.64204331228457201</v>
      </c>
      <c r="M216" s="146">
        <v>0.58875486943719701</v>
      </c>
      <c r="N216" s="146">
        <v>5.3288442847374502E-2</v>
      </c>
      <c r="O216" s="146">
        <v>0.409836065573771</v>
      </c>
      <c r="P216" s="146">
        <v>0.20327868852459</v>
      </c>
      <c r="Q216" s="147">
        <v>0.20655737704918001</v>
      </c>
    </row>
    <row r="217" spans="2:17" ht="15" customHeight="1" x14ac:dyDescent="0.35">
      <c r="B217" s="140">
        <v>214</v>
      </c>
      <c r="C217" s="135" t="s">
        <v>1900</v>
      </c>
      <c r="D217" s="135" t="s">
        <v>1928</v>
      </c>
      <c r="E217" s="135" t="s">
        <v>1896</v>
      </c>
      <c r="F217" s="135" t="s">
        <v>1921</v>
      </c>
      <c r="G217" s="135" t="s">
        <v>1922</v>
      </c>
      <c r="H217" s="135" t="s">
        <v>1897</v>
      </c>
      <c r="I217" s="146">
        <v>0.6875</v>
      </c>
      <c r="J217" s="146">
        <v>0.625</v>
      </c>
      <c r="K217" s="146">
        <v>6.25E-2</v>
      </c>
      <c r="L217" s="146">
        <v>0.62070499061955298</v>
      </c>
      <c r="M217" s="146">
        <v>0.54332947878813398</v>
      </c>
      <c r="N217" s="146">
        <v>7.7375511831419497E-2</v>
      </c>
      <c r="O217" s="146">
        <v>0.27777777777777801</v>
      </c>
      <c r="P217" s="146">
        <v>0.20915032679738599</v>
      </c>
      <c r="Q217" s="147">
        <v>6.8627450980392093E-2</v>
      </c>
    </row>
    <row r="218" spans="2:17" ht="15" customHeight="1" x14ac:dyDescent="0.35">
      <c r="B218" s="140">
        <v>215</v>
      </c>
      <c r="C218" s="135" t="s">
        <v>1900</v>
      </c>
      <c r="D218" s="135" t="s">
        <v>1929</v>
      </c>
      <c r="E218" s="135" t="s">
        <v>1896</v>
      </c>
      <c r="F218" s="135" t="s">
        <v>1921</v>
      </c>
      <c r="G218" s="135" t="s">
        <v>1922</v>
      </c>
      <c r="H218" s="135" t="s">
        <v>1897</v>
      </c>
      <c r="I218" s="146">
        <v>0.76666666666666705</v>
      </c>
      <c r="J218" s="146">
        <v>0.66666666666666696</v>
      </c>
      <c r="K218" s="146">
        <v>0.1</v>
      </c>
      <c r="L218" s="146">
        <v>0.68164379850192403</v>
      </c>
      <c r="M218" s="146">
        <v>0.59167375852288895</v>
      </c>
      <c r="N218" s="146">
        <v>8.9970039979034494E-2</v>
      </c>
      <c r="O218" s="146">
        <v>0.408496732026144</v>
      </c>
      <c r="P218" s="146">
        <v>0.20915032679738599</v>
      </c>
      <c r="Q218" s="147">
        <v>0.19934640522875799</v>
      </c>
    </row>
    <row r="219" spans="2:17" ht="15" customHeight="1" x14ac:dyDescent="0.35">
      <c r="B219" s="140">
        <v>216</v>
      </c>
      <c r="C219" s="135" t="s">
        <v>1901</v>
      </c>
      <c r="D219" s="135" t="s">
        <v>1920</v>
      </c>
      <c r="E219" s="135" t="s">
        <v>1896</v>
      </c>
      <c r="F219" s="135" t="s">
        <v>1921</v>
      </c>
      <c r="G219" s="135" t="s">
        <v>1922</v>
      </c>
      <c r="H219" s="135" t="s">
        <v>1897</v>
      </c>
      <c r="I219" s="146">
        <v>0.57692307692307698</v>
      </c>
      <c r="J219" s="146">
        <v>0.46153846153846201</v>
      </c>
      <c r="K219" s="146">
        <v>0.115384615384615</v>
      </c>
      <c r="L219" s="146">
        <v>0.53434482334534705</v>
      </c>
      <c r="M219" s="146">
        <v>0.42431049526248898</v>
      </c>
      <c r="N219" s="146">
        <v>0.110034328082858</v>
      </c>
      <c r="O219" s="146">
        <v>0.35416666666666702</v>
      </c>
      <c r="P219" s="146">
        <v>0.125</v>
      </c>
      <c r="Q219" s="147">
        <v>0.22916666666666699</v>
      </c>
    </row>
    <row r="220" spans="2:17" ht="15" customHeight="1" x14ac:dyDescent="0.35">
      <c r="B220" s="140">
        <v>217</v>
      </c>
      <c r="C220" s="135" t="s">
        <v>1901</v>
      </c>
      <c r="D220" s="135" t="s">
        <v>1925</v>
      </c>
      <c r="E220" s="135" t="s">
        <v>1896</v>
      </c>
      <c r="F220" s="135" t="s">
        <v>1921</v>
      </c>
      <c r="G220" s="135" t="s">
        <v>1922</v>
      </c>
      <c r="H220" s="135" t="s">
        <v>1897</v>
      </c>
      <c r="I220" s="146">
        <v>0.63333333333333297</v>
      </c>
      <c r="J220" s="146">
        <v>0.4</v>
      </c>
      <c r="K220" s="146">
        <v>0.233333333333333</v>
      </c>
      <c r="L220" s="146">
        <v>0.56526066443492795</v>
      </c>
      <c r="M220" s="146">
        <v>0.37543854388145598</v>
      </c>
      <c r="N220" s="146">
        <v>0.189822120553472</v>
      </c>
      <c r="O220" s="146">
        <v>0.433447098976109</v>
      </c>
      <c r="P220" s="146">
        <v>0.25938566552900999</v>
      </c>
      <c r="Q220" s="147">
        <v>0.17406143344709901</v>
      </c>
    </row>
    <row r="221" spans="2:17" ht="15" customHeight="1" x14ac:dyDescent="0.35">
      <c r="B221" s="140">
        <v>218</v>
      </c>
      <c r="C221" s="135" t="s">
        <v>1901</v>
      </c>
      <c r="D221" s="135" t="s">
        <v>1927</v>
      </c>
      <c r="E221" s="135" t="s">
        <v>1896</v>
      </c>
      <c r="F221" s="135" t="s">
        <v>1921</v>
      </c>
      <c r="G221" s="135" t="s">
        <v>1922</v>
      </c>
      <c r="H221" s="135" t="s">
        <v>1897</v>
      </c>
      <c r="I221" s="146">
        <v>0.75862068965517204</v>
      </c>
      <c r="J221" s="146">
        <v>0.68965517241379304</v>
      </c>
      <c r="K221" s="146">
        <v>6.8965517241379296E-2</v>
      </c>
      <c r="L221" s="146">
        <v>0.65645376197249805</v>
      </c>
      <c r="M221" s="146">
        <v>0.64567562311194504</v>
      </c>
      <c r="N221" s="146">
        <v>1.07781388605525E-2</v>
      </c>
      <c r="O221" s="146">
        <v>0.57388316151202801</v>
      </c>
      <c r="P221" s="146">
        <v>0.54982817869415801</v>
      </c>
      <c r="Q221" s="147">
        <v>2.40549828178695E-2</v>
      </c>
    </row>
    <row r="222" spans="2:17" ht="15" customHeight="1" x14ac:dyDescent="0.35">
      <c r="B222" s="140">
        <v>219</v>
      </c>
      <c r="C222" s="135" t="s">
        <v>1901</v>
      </c>
      <c r="D222" s="135" t="s">
        <v>1928</v>
      </c>
      <c r="E222" s="135" t="s">
        <v>1896</v>
      </c>
      <c r="F222" s="135" t="s">
        <v>1921</v>
      </c>
      <c r="G222" s="135" t="s">
        <v>1922</v>
      </c>
      <c r="H222" s="135" t="s">
        <v>1897</v>
      </c>
      <c r="I222" s="146">
        <v>0.65517241379310298</v>
      </c>
      <c r="J222" s="146">
        <v>0.48275862068965503</v>
      </c>
      <c r="K222" s="146">
        <v>0.17241379310344801</v>
      </c>
      <c r="L222" s="146">
        <v>0.59579615152751897</v>
      </c>
      <c r="M222" s="146">
        <v>0.45105982512607201</v>
      </c>
      <c r="N222" s="146">
        <v>0.14473632640144801</v>
      </c>
      <c r="O222" s="146">
        <v>0.41868512110726602</v>
      </c>
      <c r="P222" s="146">
        <v>0.24913494809688599</v>
      </c>
      <c r="Q222" s="147">
        <v>0.169550173010381</v>
      </c>
    </row>
    <row r="223" spans="2:17" ht="15" customHeight="1" x14ac:dyDescent="0.35">
      <c r="B223" s="140">
        <v>220</v>
      </c>
      <c r="C223" s="135" t="s">
        <v>1901</v>
      </c>
      <c r="D223" s="135" t="s">
        <v>1929</v>
      </c>
      <c r="E223" s="135" t="s">
        <v>1896</v>
      </c>
      <c r="F223" s="135" t="s">
        <v>1921</v>
      </c>
      <c r="G223" s="135" t="s">
        <v>1922</v>
      </c>
      <c r="H223" s="135" t="s">
        <v>1897</v>
      </c>
      <c r="I223" s="146">
        <v>0.74074074074074103</v>
      </c>
      <c r="J223" s="146">
        <v>0.74074074074074103</v>
      </c>
      <c r="K223" s="146">
        <v>0</v>
      </c>
      <c r="L223" s="146">
        <v>0.637846432414091</v>
      </c>
      <c r="M223" s="146">
        <v>0.60915525105873303</v>
      </c>
      <c r="N223" s="146">
        <v>2.86911813553586E-2</v>
      </c>
      <c r="O223" s="146">
        <v>0.56701030927835105</v>
      </c>
      <c r="P223" s="146">
        <v>0.536082474226804</v>
      </c>
      <c r="Q223" s="147">
        <v>3.09278350515464E-2</v>
      </c>
    </row>
    <row r="224" spans="2:17" ht="15" customHeight="1" x14ac:dyDescent="0.35">
      <c r="B224" s="140">
        <v>221</v>
      </c>
      <c r="C224" s="135" t="s">
        <v>1902</v>
      </c>
      <c r="D224" s="135" t="s">
        <v>1920</v>
      </c>
      <c r="E224" s="135" t="s">
        <v>1896</v>
      </c>
      <c r="F224" s="135" t="s">
        <v>1921</v>
      </c>
      <c r="G224" s="135" t="s">
        <v>1922</v>
      </c>
      <c r="H224" s="135" t="s">
        <v>1897</v>
      </c>
      <c r="I224" s="146">
        <v>0.592592592592593</v>
      </c>
      <c r="J224" s="146">
        <v>0.51851851851851805</v>
      </c>
      <c r="K224" s="146">
        <v>7.4074074074074098E-2</v>
      </c>
      <c r="L224" s="146">
        <v>0.50865457392634295</v>
      </c>
      <c r="M224" s="146">
        <v>0.38388706219815499</v>
      </c>
      <c r="N224" s="146">
        <v>0.12476751172818799</v>
      </c>
      <c r="O224" s="146">
        <v>0.25524475524475498</v>
      </c>
      <c r="P224" s="146">
        <v>0.111888111888112</v>
      </c>
      <c r="Q224" s="147">
        <v>0.143356643356643</v>
      </c>
    </row>
    <row r="225" spans="2:17" ht="15" customHeight="1" x14ac:dyDescent="0.35">
      <c r="B225" s="140">
        <v>222</v>
      </c>
      <c r="C225" s="135" t="s">
        <v>1902</v>
      </c>
      <c r="D225" s="135" t="s">
        <v>1925</v>
      </c>
      <c r="E225" s="135" t="s">
        <v>1896</v>
      </c>
      <c r="F225" s="135" t="s">
        <v>1921</v>
      </c>
      <c r="G225" s="135" t="s">
        <v>1922</v>
      </c>
      <c r="H225" s="135" t="s">
        <v>1897</v>
      </c>
      <c r="I225" s="146">
        <v>0.6</v>
      </c>
      <c r="J225" s="146">
        <v>0.4</v>
      </c>
      <c r="K225" s="146">
        <v>0.2</v>
      </c>
      <c r="L225" s="146">
        <v>0.52456833256660895</v>
      </c>
      <c r="M225" s="146">
        <v>0.316851971028415</v>
      </c>
      <c r="N225" s="146">
        <v>0.20771636153819401</v>
      </c>
      <c r="O225" s="146">
        <v>0.34246575342465702</v>
      </c>
      <c r="P225" s="146">
        <v>0.25342465753424598</v>
      </c>
      <c r="Q225" s="147">
        <v>8.9041095890410996E-2</v>
      </c>
    </row>
    <row r="226" spans="2:17" ht="15" customHeight="1" x14ac:dyDescent="0.35">
      <c r="B226" s="140">
        <v>223</v>
      </c>
      <c r="C226" s="135" t="s">
        <v>1902</v>
      </c>
      <c r="D226" s="135" t="s">
        <v>1927</v>
      </c>
      <c r="E226" s="135" t="s">
        <v>1896</v>
      </c>
      <c r="F226" s="135" t="s">
        <v>1921</v>
      </c>
      <c r="G226" s="135" t="s">
        <v>1922</v>
      </c>
      <c r="H226" s="135" t="s">
        <v>1897</v>
      </c>
      <c r="I226" s="146">
        <v>0.67857142857142905</v>
      </c>
      <c r="J226" s="146">
        <v>0.64285714285714302</v>
      </c>
      <c r="K226" s="146">
        <v>3.5714285714285698E-2</v>
      </c>
      <c r="L226" s="146">
        <v>0.62449291533703799</v>
      </c>
      <c r="M226" s="146">
        <v>0.60157541298875805</v>
      </c>
      <c r="N226" s="146">
        <v>2.2917502348279498E-2</v>
      </c>
      <c r="O226" s="146">
        <v>0.35205992509363299</v>
      </c>
      <c r="P226" s="146">
        <v>0.284644194756554</v>
      </c>
      <c r="Q226" s="147">
        <v>6.7415730337078594E-2</v>
      </c>
    </row>
    <row r="227" spans="2:17" ht="15" customHeight="1" x14ac:dyDescent="0.35">
      <c r="B227" s="140">
        <v>224</v>
      </c>
      <c r="C227" s="135" t="s">
        <v>1902</v>
      </c>
      <c r="D227" s="135" t="s">
        <v>1928</v>
      </c>
      <c r="E227" s="135" t="s">
        <v>1896</v>
      </c>
      <c r="F227" s="135" t="s">
        <v>1921</v>
      </c>
      <c r="G227" s="135" t="s">
        <v>1922</v>
      </c>
      <c r="H227" s="135" t="s">
        <v>1897</v>
      </c>
      <c r="I227" s="146">
        <v>0.51851851851851805</v>
      </c>
      <c r="J227" s="146">
        <v>0.37037037037037002</v>
      </c>
      <c r="K227" s="146">
        <v>0.148148148148148</v>
      </c>
      <c r="L227" s="146">
        <v>0.521744461716384</v>
      </c>
      <c r="M227" s="146">
        <v>0.35674998424386101</v>
      </c>
      <c r="N227" s="146">
        <v>0.16499447747252299</v>
      </c>
      <c r="O227" s="146">
        <v>0.33793103448275802</v>
      </c>
      <c r="P227" s="146">
        <v>0.25517241379310301</v>
      </c>
      <c r="Q227" s="147">
        <v>8.2758620689655199E-2</v>
      </c>
    </row>
    <row r="228" spans="2:17" ht="15" customHeight="1" x14ac:dyDescent="0.35">
      <c r="B228" s="140">
        <v>225</v>
      </c>
      <c r="C228" s="135" t="s">
        <v>1902</v>
      </c>
      <c r="D228" s="135" t="s">
        <v>1929</v>
      </c>
      <c r="E228" s="135" t="s">
        <v>1896</v>
      </c>
      <c r="F228" s="135" t="s">
        <v>1921</v>
      </c>
      <c r="G228" s="135" t="s">
        <v>1922</v>
      </c>
      <c r="H228" s="135" t="s">
        <v>1897</v>
      </c>
      <c r="I228" s="146">
        <v>0.65384615384615397</v>
      </c>
      <c r="J228" s="146">
        <v>0.61538461538461497</v>
      </c>
      <c r="K228" s="146">
        <v>3.8461538461538498E-2</v>
      </c>
      <c r="L228" s="146">
        <v>0.59104655436644604</v>
      </c>
      <c r="M228" s="146">
        <v>0.57353997421821301</v>
      </c>
      <c r="N228" s="146">
        <v>1.7506580148233201E-2</v>
      </c>
      <c r="O228" s="146">
        <v>0.30651340996168602</v>
      </c>
      <c r="P228" s="146">
        <v>0.24521072796934901</v>
      </c>
      <c r="Q228" s="147">
        <v>6.13026819923373E-2</v>
      </c>
    </row>
    <row r="229" spans="2:17" ht="15" customHeight="1" x14ac:dyDescent="0.35">
      <c r="B229" s="140">
        <v>226</v>
      </c>
      <c r="C229" s="1" t="s">
        <v>1903</v>
      </c>
      <c r="D229" s="1" t="s">
        <v>1911</v>
      </c>
      <c r="E229" s="1" t="s">
        <v>1904</v>
      </c>
      <c r="F229" s="1" t="s">
        <v>1912</v>
      </c>
      <c r="G229" s="1" t="s">
        <v>1914</v>
      </c>
      <c r="H229" s="1" t="s">
        <v>1897</v>
      </c>
      <c r="I229" s="144">
        <v>0.625</v>
      </c>
      <c r="J229" s="144">
        <v>0.33333333333333298</v>
      </c>
      <c r="K229" s="144">
        <v>0.29166666666666702</v>
      </c>
      <c r="L229" s="144">
        <v>0.49517874668412598</v>
      </c>
      <c r="M229" s="144">
        <v>0.240361484257616</v>
      </c>
      <c r="N229" s="144">
        <v>0.25481726242651098</v>
      </c>
      <c r="O229" s="144">
        <v>0.37090909090909102</v>
      </c>
      <c r="P229" s="144">
        <v>0.15272727272727299</v>
      </c>
      <c r="Q229" s="145">
        <v>0.218181818181818</v>
      </c>
    </row>
    <row r="230" spans="2:17" ht="15" customHeight="1" x14ac:dyDescent="0.35">
      <c r="B230" s="140">
        <v>227</v>
      </c>
      <c r="C230" s="1" t="s">
        <v>1903</v>
      </c>
      <c r="D230" s="1" t="s">
        <v>1915</v>
      </c>
      <c r="E230" s="1" t="s">
        <v>1904</v>
      </c>
      <c r="F230" s="1" t="s">
        <v>1912</v>
      </c>
      <c r="G230" s="1" t="s">
        <v>1914</v>
      </c>
      <c r="H230" s="1" t="s">
        <v>1897</v>
      </c>
      <c r="I230" s="144">
        <v>0.66666666666666696</v>
      </c>
      <c r="J230" s="144">
        <v>0.296296296296296</v>
      </c>
      <c r="K230" s="144">
        <v>0.37037037037037002</v>
      </c>
      <c r="L230" s="144">
        <v>0.54204685779376005</v>
      </c>
      <c r="M230" s="144">
        <v>0.20848967253301301</v>
      </c>
      <c r="N230" s="144">
        <v>0.33355718526074701</v>
      </c>
      <c r="O230" s="144">
        <v>0.34892086330935201</v>
      </c>
      <c r="P230" s="144">
        <v>9.3525179856114998E-2</v>
      </c>
      <c r="Q230" s="145">
        <v>0.25539568345323699</v>
      </c>
    </row>
    <row r="231" spans="2:17" ht="15" customHeight="1" x14ac:dyDescent="0.35">
      <c r="B231" s="140">
        <v>228</v>
      </c>
      <c r="C231" s="1" t="s">
        <v>1903</v>
      </c>
      <c r="D231" s="1" t="s">
        <v>1917</v>
      </c>
      <c r="E231" s="1" t="s">
        <v>1904</v>
      </c>
      <c r="F231" s="1" t="s">
        <v>1912</v>
      </c>
      <c r="G231" s="1" t="s">
        <v>1914</v>
      </c>
      <c r="H231" s="1" t="s">
        <v>1897</v>
      </c>
      <c r="I231" s="144">
        <v>0.74074074074074103</v>
      </c>
      <c r="J231" s="144">
        <v>0.44444444444444398</v>
      </c>
      <c r="K231" s="144">
        <v>0.296296296296296</v>
      </c>
      <c r="L231" s="144">
        <v>0.55966959315670095</v>
      </c>
      <c r="M231" s="144">
        <v>0.28838713777435498</v>
      </c>
      <c r="N231" s="144">
        <v>0.27128245538234602</v>
      </c>
      <c r="O231" s="144">
        <v>0.48239436619718301</v>
      </c>
      <c r="P231" s="144">
        <v>0.33098591549295697</v>
      </c>
      <c r="Q231" s="145">
        <v>0.15140845070422501</v>
      </c>
    </row>
    <row r="232" spans="2:17" ht="15" customHeight="1" x14ac:dyDescent="0.35">
      <c r="B232" s="140">
        <v>229</v>
      </c>
      <c r="C232" s="1" t="s">
        <v>1903</v>
      </c>
      <c r="D232" s="1" t="s">
        <v>1918</v>
      </c>
      <c r="E232" s="1" t="s">
        <v>1904</v>
      </c>
      <c r="F232" s="1" t="s">
        <v>1912</v>
      </c>
      <c r="G232" s="1" t="s">
        <v>1914</v>
      </c>
      <c r="H232" s="1" t="s">
        <v>1897</v>
      </c>
      <c r="I232" s="144">
        <v>0.66666666666666696</v>
      </c>
      <c r="J232" s="144">
        <v>0.296296296296296</v>
      </c>
      <c r="K232" s="144">
        <v>0.37037037037037002</v>
      </c>
      <c r="L232" s="144">
        <v>0.53909715576805495</v>
      </c>
      <c r="M232" s="144">
        <v>0.209832566276347</v>
      </c>
      <c r="N232" s="144">
        <v>0.329264589491708</v>
      </c>
      <c r="O232" s="144">
        <v>0.378006872852234</v>
      </c>
      <c r="P232" s="144">
        <v>8.9347079037800897E-2</v>
      </c>
      <c r="Q232" s="145">
        <v>0.28865979381443302</v>
      </c>
    </row>
    <row r="233" spans="2:17" ht="15" customHeight="1" x14ac:dyDescent="0.35">
      <c r="B233" s="140">
        <v>230</v>
      </c>
      <c r="C233" s="1" t="s">
        <v>1903</v>
      </c>
      <c r="D233" s="1" t="s">
        <v>1919</v>
      </c>
      <c r="E233" s="1" t="s">
        <v>1904</v>
      </c>
      <c r="F233" s="1" t="s">
        <v>1912</v>
      </c>
      <c r="G233" s="1" t="s">
        <v>1914</v>
      </c>
      <c r="H233" s="1" t="s">
        <v>1897</v>
      </c>
      <c r="I233" s="144">
        <v>0.65384615384615397</v>
      </c>
      <c r="J233" s="144">
        <v>0.30769230769230799</v>
      </c>
      <c r="K233" s="144">
        <v>0.34615384615384598</v>
      </c>
      <c r="L233" s="144">
        <v>0.53381799886772596</v>
      </c>
      <c r="M233" s="144">
        <v>0.224897548703195</v>
      </c>
      <c r="N233" s="144">
        <v>0.30892045016453101</v>
      </c>
      <c r="O233" s="144">
        <v>0.35842293906810002</v>
      </c>
      <c r="P233" s="144">
        <v>0.10752688172043</v>
      </c>
      <c r="Q233" s="145">
        <v>0.25089605734767001</v>
      </c>
    </row>
    <row r="234" spans="2:17" ht="15" customHeight="1" x14ac:dyDescent="0.35">
      <c r="B234" s="140">
        <v>231</v>
      </c>
      <c r="C234" s="1" t="s">
        <v>1906</v>
      </c>
      <c r="D234" s="1" t="s">
        <v>1911</v>
      </c>
      <c r="E234" s="1" t="s">
        <v>1904</v>
      </c>
      <c r="F234" s="1" t="s">
        <v>1912</v>
      </c>
      <c r="G234" s="1" t="s">
        <v>1914</v>
      </c>
      <c r="H234" s="1" t="s">
        <v>1897</v>
      </c>
      <c r="I234" s="144">
        <v>0.5</v>
      </c>
      <c r="J234" s="144">
        <v>0.33333333333333298</v>
      </c>
      <c r="K234" s="144">
        <v>0.16666666666666699</v>
      </c>
      <c r="L234" s="144">
        <v>0.32945913046214498</v>
      </c>
      <c r="M234" s="144">
        <v>0.18630191040058799</v>
      </c>
      <c r="N234" s="144">
        <v>0.14315722006155701</v>
      </c>
      <c r="O234" s="144">
        <v>0.14705882352941199</v>
      </c>
      <c r="P234" s="144">
        <v>0.13235294117647101</v>
      </c>
      <c r="Q234" s="145">
        <v>1.47058823529411E-2</v>
      </c>
    </row>
    <row r="235" spans="2:17" ht="15" customHeight="1" x14ac:dyDescent="0.35">
      <c r="B235" s="140">
        <v>232</v>
      </c>
      <c r="C235" s="1" t="s">
        <v>1906</v>
      </c>
      <c r="D235" s="1" t="s">
        <v>1915</v>
      </c>
      <c r="E235" s="1" t="s">
        <v>1904</v>
      </c>
      <c r="F235" s="1" t="s">
        <v>1912</v>
      </c>
      <c r="G235" s="1" t="s">
        <v>1914</v>
      </c>
      <c r="H235" s="1" t="s">
        <v>1897</v>
      </c>
      <c r="I235" s="144">
        <v>0.60714285714285698</v>
      </c>
      <c r="J235" s="144">
        <v>0.35714285714285698</v>
      </c>
      <c r="K235" s="144">
        <v>0.25</v>
      </c>
      <c r="L235" s="144">
        <v>0.49327801903449697</v>
      </c>
      <c r="M235" s="144">
        <v>0.27214554299624999</v>
      </c>
      <c r="N235" s="144">
        <v>0.22113247603824701</v>
      </c>
      <c r="O235" s="144">
        <v>0.19930069930069899</v>
      </c>
      <c r="P235" s="144">
        <v>0.14685314685314699</v>
      </c>
      <c r="Q235" s="145">
        <v>5.2447552447552399E-2</v>
      </c>
    </row>
    <row r="236" spans="2:17" ht="15" customHeight="1" x14ac:dyDescent="0.35">
      <c r="B236" s="140">
        <v>233</v>
      </c>
      <c r="C236" s="1" t="s">
        <v>1906</v>
      </c>
      <c r="D236" s="1" t="s">
        <v>1917</v>
      </c>
      <c r="E236" s="1" t="s">
        <v>1904</v>
      </c>
      <c r="F236" s="1" t="s">
        <v>1912</v>
      </c>
      <c r="G236" s="1" t="s">
        <v>1914</v>
      </c>
      <c r="H236" s="1" t="s">
        <v>1897</v>
      </c>
      <c r="I236" s="144">
        <v>0.72413793103448298</v>
      </c>
      <c r="J236" s="144">
        <v>0.55172413793103403</v>
      </c>
      <c r="K236" s="144">
        <v>0.17241379310344801</v>
      </c>
      <c r="L236" s="144">
        <v>0.53747691126633201</v>
      </c>
      <c r="M236" s="144">
        <v>0.38368090382092501</v>
      </c>
      <c r="N236" s="144">
        <v>0.153796007445407</v>
      </c>
      <c r="O236" s="144">
        <v>0.32646048109965597</v>
      </c>
      <c r="P236" s="144">
        <v>0.28178694158075601</v>
      </c>
      <c r="Q236" s="145">
        <v>4.4673539518900303E-2</v>
      </c>
    </row>
    <row r="237" spans="2:17" ht="15" customHeight="1" x14ac:dyDescent="0.35">
      <c r="B237" s="140">
        <v>234</v>
      </c>
      <c r="C237" s="1" t="s">
        <v>1906</v>
      </c>
      <c r="D237" s="1" t="s">
        <v>1918</v>
      </c>
      <c r="E237" s="1" t="s">
        <v>1904</v>
      </c>
      <c r="F237" s="1" t="s">
        <v>1912</v>
      </c>
      <c r="G237" s="1" t="s">
        <v>1914</v>
      </c>
      <c r="H237" s="1" t="s">
        <v>1897</v>
      </c>
      <c r="I237" s="144">
        <v>0.65517241379310298</v>
      </c>
      <c r="J237" s="144">
        <v>0.41379310344827602</v>
      </c>
      <c r="K237" s="144">
        <v>0.24137931034482801</v>
      </c>
      <c r="L237" s="144">
        <v>0.43455950874831001</v>
      </c>
      <c r="M237" s="144">
        <v>0.21030356749981399</v>
      </c>
      <c r="N237" s="144">
        <v>0.22425594124849599</v>
      </c>
      <c r="O237" s="144">
        <v>0.20408163265306101</v>
      </c>
      <c r="P237" s="144">
        <v>0.108843537414966</v>
      </c>
      <c r="Q237" s="145">
        <v>9.5238095238095094E-2</v>
      </c>
    </row>
    <row r="238" spans="2:17" ht="15" customHeight="1" x14ac:dyDescent="0.35">
      <c r="B238" s="140">
        <v>235</v>
      </c>
      <c r="C238" s="1" t="s">
        <v>1906</v>
      </c>
      <c r="D238" s="1" t="s">
        <v>1919</v>
      </c>
      <c r="E238" s="1" t="s">
        <v>1904</v>
      </c>
      <c r="F238" s="1" t="s">
        <v>1912</v>
      </c>
      <c r="G238" s="1" t="s">
        <v>1914</v>
      </c>
      <c r="H238" s="1" t="s">
        <v>1897</v>
      </c>
      <c r="I238" s="144">
        <v>0.592592592592593</v>
      </c>
      <c r="J238" s="144">
        <v>0.37037037037037002</v>
      </c>
      <c r="K238" s="144">
        <v>0.22222222222222199</v>
      </c>
      <c r="L238" s="144">
        <v>0.39602723344459201</v>
      </c>
      <c r="M238" s="144">
        <v>0.190529666889273</v>
      </c>
      <c r="N238" s="144">
        <v>0.20549756655531901</v>
      </c>
      <c r="O238" s="144">
        <v>0.20905923344947699</v>
      </c>
      <c r="P238" s="144">
        <v>0.16027874564459901</v>
      </c>
      <c r="Q238" s="145">
        <v>4.8780487804878099E-2</v>
      </c>
    </row>
    <row r="239" spans="2:17" ht="15" customHeight="1" x14ac:dyDescent="0.35">
      <c r="B239" s="140">
        <v>236</v>
      </c>
      <c r="C239" s="1" t="s">
        <v>1908</v>
      </c>
      <c r="D239" s="1" t="s">
        <v>1911</v>
      </c>
      <c r="E239" s="1" t="s">
        <v>1904</v>
      </c>
      <c r="F239" s="1" t="s">
        <v>1912</v>
      </c>
      <c r="G239" s="1" t="s">
        <v>1914</v>
      </c>
      <c r="H239" s="1" t="s">
        <v>1897</v>
      </c>
      <c r="I239" s="144">
        <v>0.60869565217391297</v>
      </c>
      <c r="J239" s="144">
        <v>0.26086956521739102</v>
      </c>
      <c r="K239" s="144">
        <v>0.34782608695652201</v>
      </c>
      <c r="L239" s="144">
        <v>0.479678539921641</v>
      </c>
      <c r="M239" s="144">
        <v>0.16557270843477001</v>
      </c>
      <c r="N239" s="144">
        <v>0.31410583148687099</v>
      </c>
      <c r="O239" s="144">
        <v>0.31954887218045103</v>
      </c>
      <c r="P239" s="144">
        <v>9.0225563909774403E-2</v>
      </c>
      <c r="Q239" s="145">
        <v>0.22932330827067701</v>
      </c>
    </row>
    <row r="240" spans="2:17" ht="15" customHeight="1" x14ac:dyDescent="0.35">
      <c r="B240" s="140">
        <v>237</v>
      </c>
      <c r="C240" s="1" t="s">
        <v>1908</v>
      </c>
      <c r="D240" s="1" t="s">
        <v>1915</v>
      </c>
      <c r="E240" s="1" t="s">
        <v>1904</v>
      </c>
      <c r="F240" s="1" t="s">
        <v>1912</v>
      </c>
      <c r="G240" s="1" t="s">
        <v>1914</v>
      </c>
      <c r="H240" s="1" t="s">
        <v>1897</v>
      </c>
      <c r="I240" s="144">
        <v>0.65384615384615397</v>
      </c>
      <c r="J240" s="144">
        <v>0.230769230769231</v>
      </c>
      <c r="K240" s="144">
        <v>0.42307692307692302</v>
      </c>
      <c r="L240" s="144">
        <v>0.578658002787936</v>
      </c>
      <c r="M240" s="144">
        <v>0.20191056050880701</v>
      </c>
      <c r="N240" s="144">
        <v>0.37674744227912998</v>
      </c>
      <c r="O240" s="144">
        <v>0.34657039711191301</v>
      </c>
      <c r="P240" s="144">
        <v>8.6642599277978294E-2</v>
      </c>
      <c r="Q240" s="145">
        <v>0.25992779783393499</v>
      </c>
    </row>
    <row r="241" spans="2:17" ht="15" customHeight="1" x14ac:dyDescent="0.35">
      <c r="B241" s="140">
        <v>238</v>
      </c>
      <c r="C241" s="1" t="s">
        <v>1908</v>
      </c>
      <c r="D241" s="1" t="s">
        <v>1917</v>
      </c>
      <c r="E241" s="1" t="s">
        <v>1904</v>
      </c>
      <c r="F241" s="1" t="s">
        <v>1912</v>
      </c>
      <c r="G241" s="1" t="s">
        <v>1914</v>
      </c>
      <c r="H241" s="1" t="s">
        <v>1897</v>
      </c>
      <c r="I241" s="144">
        <v>0.73076923076923095</v>
      </c>
      <c r="J241" s="144">
        <v>0.38461538461538503</v>
      </c>
      <c r="K241" s="144">
        <v>0.34615384615384598</v>
      </c>
      <c r="L241" s="144">
        <v>0.56347203682471902</v>
      </c>
      <c r="M241" s="144">
        <v>0.239778595476871</v>
      </c>
      <c r="N241" s="144">
        <v>0.323693441347848</v>
      </c>
      <c r="O241" s="144">
        <v>0.48056537102473501</v>
      </c>
      <c r="P241" s="144">
        <v>0.32508833922261499</v>
      </c>
      <c r="Q241" s="145">
        <v>0.15547703180212</v>
      </c>
    </row>
    <row r="242" spans="2:17" ht="15" customHeight="1" x14ac:dyDescent="0.35">
      <c r="B242" s="140">
        <v>239</v>
      </c>
      <c r="C242" s="1" t="s">
        <v>1908</v>
      </c>
      <c r="D242" s="1" t="s">
        <v>1918</v>
      </c>
      <c r="E242" s="1" t="s">
        <v>1904</v>
      </c>
      <c r="F242" s="1" t="s">
        <v>1912</v>
      </c>
      <c r="G242" s="1" t="s">
        <v>1914</v>
      </c>
      <c r="H242" s="1" t="s">
        <v>1897</v>
      </c>
      <c r="I242" s="144">
        <v>0.75</v>
      </c>
      <c r="J242" s="144">
        <v>0.35714285714285698</v>
      </c>
      <c r="K242" s="144">
        <v>0.39285714285714302</v>
      </c>
      <c r="L242" s="144">
        <v>0.59162387290225604</v>
      </c>
      <c r="M242" s="144">
        <v>0.22301213326642699</v>
      </c>
      <c r="N242" s="144">
        <v>0.36861173963582899</v>
      </c>
      <c r="O242" s="144">
        <v>0.397959183673469</v>
      </c>
      <c r="P242" s="144">
        <v>0.108843537414966</v>
      </c>
      <c r="Q242" s="145">
        <v>0.289115646258503</v>
      </c>
    </row>
    <row r="243" spans="2:17" ht="15" customHeight="1" x14ac:dyDescent="0.35">
      <c r="B243" s="140">
        <v>240</v>
      </c>
      <c r="C243" s="1" t="s">
        <v>1908</v>
      </c>
      <c r="D243" s="1" t="s">
        <v>1919</v>
      </c>
      <c r="E243" s="1" t="s">
        <v>1904</v>
      </c>
      <c r="F243" s="1" t="s">
        <v>1912</v>
      </c>
      <c r="G243" s="1" t="s">
        <v>1914</v>
      </c>
      <c r="H243" s="1" t="s">
        <v>1897</v>
      </c>
      <c r="I243" s="144">
        <v>0.64</v>
      </c>
      <c r="J243" s="144">
        <v>0.24</v>
      </c>
      <c r="K243" s="144">
        <v>0.4</v>
      </c>
      <c r="L243" s="144">
        <v>0.52696343209169805</v>
      </c>
      <c r="M243" s="144">
        <v>0.162671322764671</v>
      </c>
      <c r="N243" s="144">
        <v>0.36429210932702699</v>
      </c>
      <c r="O243" s="144">
        <v>0.35611510791366902</v>
      </c>
      <c r="P243" s="144">
        <v>0.100719424460431</v>
      </c>
      <c r="Q243" s="145">
        <v>0.25539568345323699</v>
      </c>
    </row>
    <row r="244" spans="2:17" ht="15" customHeight="1" x14ac:dyDescent="0.35">
      <c r="B244" s="140">
        <v>241</v>
      </c>
      <c r="C244" s="1" t="s">
        <v>1909</v>
      </c>
      <c r="D244" s="1" t="s">
        <v>1911</v>
      </c>
      <c r="E244" s="1" t="s">
        <v>1904</v>
      </c>
      <c r="F244" s="1" t="s">
        <v>1912</v>
      </c>
      <c r="G244" s="1" t="s">
        <v>1914</v>
      </c>
      <c r="H244" s="1" t="s">
        <v>1897</v>
      </c>
      <c r="I244" s="144">
        <v>0.56000000000000005</v>
      </c>
      <c r="J244" s="144">
        <v>0.4</v>
      </c>
      <c r="K244" s="144">
        <v>0.16</v>
      </c>
      <c r="L244" s="144">
        <v>0.392788407696257</v>
      </c>
      <c r="M244" s="144">
        <v>0.25317982927708799</v>
      </c>
      <c r="N244" s="144">
        <v>0.13960857841916899</v>
      </c>
      <c r="O244" s="144">
        <v>0.32129963898917002</v>
      </c>
      <c r="P244" s="144">
        <v>0.16606498194945901</v>
      </c>
      <c r="Q244" s="145">
        <v>0.15523465703971101</v>
      </c>
    </row>
    <row r="245" spans="2:17" ht="15" customHeight="1" x14ac:dyDescent="0.35">
      <c r="B245" s="140">
        <v>242</v>
      </c>
      <c r="C245" s="1" t="s">
        <v>1909</v>
      </c>
      <c r="D245" s="1" t="s">
        <v>1915</v>
      </c>
      <c r="E245" s="1" t="s">
        <v>1904</v>
      </c>
      <c r="F245" s="1" t="s">
        <v>1912</v>
      </c>
      <c r="G245" s="1" t="s">
        <v>1914</v>
      </c>
      <c r="H245" s="1" t="s">
        <v>1897</v>
      </c>
      <c r="I245" s="144">
        <v>0.55555555555555602</v>
      </c>
      <c r="J245" s="144">
        <v>0.296296296296296</v>
      </c>
      <c r="K245" s="144">
        <v>0.25925925925925902</v>
      </c>
      <c r="L245" s="144">
        <v>0.49801987375045398</v>
      </c>
      <c r="M245" s="144">
        <v>0.27585317551037802</v>
      </c>
      <c r="N245" s="144">
        <v>0.22216669824007601</v>
      </c>
      <c r="O245" s="144">
        <v>0.28776978417266202</v>
      </c>
      <c r="P245" s="144">
        <v>9.3525179856114998E-2</v>
      </c>
      <c r="Q245" s="145">
        <v>0.194244604316547</v>
      </c>
    </row>
    <row r="246" spans="2:17" ht="15" customHeight="1" x14ac:dyDescent="0.35">
      <c r="B246" s="140">
        <v>243</v>
      </c>
      <c r="C246" s="1" t="s">
        <v>1909</v>
      </c>
      <c r="D246" s="1" t="s">
        <v>1917</v>
      </c>
      <c r="E246" s="1" t="s">
        <v>1904</v>
      </c>
      <c r="F246" s="1" t="s">
        <v>1912</v>
      </c>
      <c r="G246" s="1" t="s">
        <v>1914</v>
      </c>
      <c r="H246" s="1" t="s">
        <v>1897</v>
      </c>
      <c r="I246" s="144">
        <v>0.72413793103448298</v>
      </c>
      <c r="J246" s="144">
        <v>0.55172413793103403</v>
      </c>
      <c r="K246" s="144">
        <v>0.17241379310344801</v>
      </c>
      <c r="L246" s="144">
        <v>0.59157396322886202</v>
      </c>
      <c r="M246" s="144">
        <v>0.44182684501752001</v>
      </c>
      <c r="N246" s="144">
        <v>0.14974711821134101</v>
      </c>
      <c r="O246" s="144">
        <v>0.50167224080267603</v>
      </c>
      <c r="P246" s="144">
        <v>0.41471571906354499</v>
      </c>
      <c r="Q246" s="145">
        <v>8.6956521739130502E-2</v>
      </c>
    </row>
    <row r="247" spans="2:17" ht="15" customHeight="1" x14ac:dyDescent="0.35">
      <c r="B247" s="140">
        <v>244</v>
      </c>
      <c r="C247" s="1" t="s">
        <v>1909</v>
      </c>
      <c r="D247" s="1" t="s">
        <v>1918</v>
      </c>
      <c r="E247" s="1" t="s">
        <v>1904</v>
      </c>
      <c r="F247" s="1" t="s">
        <v>1912</v>
      </c>
      <c r="G247" s="1" t="s">
        <v>1914</v>
      </c>
      <c r="H247" s="1" t="s">
        <v>1897</v>
      </c>
      <c r="I247" s="144">
        <v>0.60714285714285698</v>
      </c>
      <c r="J247" s="144">
        <v>0.35714285714285698</v>
      </c>
      <c r="K247" s="144">
        <v>0.25</v>
      </c>
      <c r="L247" s="144">
        <v>0.44724179883631698</v>
      </c>
      <c r="M247" s="144">
        <v>0.22301213326642699</v>
      </c>
      <c r="N247" s="144">
        <v>0.22422966556988999</v>
      </c>
      <c r="O247" s="144">
        <v>0.33673469387755101</v>
      </c>
      <c r="P247" s="144">
        <v>0.108843537414966</v>
      </c>
      <c r="Q247" s="145">
        <v>0.22789115646258501</v>
      </c>
    </row>
    <row r="248" spans="2:17" ht="15" customHeight="1" x14ac:dyDescent="0.35">
      <c r="B248" s="140">
        <v>245</v>
      </c>
      <c r="C248" s="1" t="s">
        <v>1909</v>
      </c>
      <c r="D248" s="1" t="s">
        <v>1919</v>
      </c>
      <c r="E248" s="1" t="s">
        <v>1904</v>
      </c>
      <c r="F248" s="1" t="s">
        <v>1912</v>
      </c>
      <c r="G248" s="1" t="s">
        <v>1914</v>
      </c>
      <c r="H248" s="1" t="s">
        <v>1897</v>
      </c>
      <c r="I248" s="144">
        <v>0.53846153846153799</v>
      </c>
      <c r="J248" s="144">
        <v>0.30769230769230799</v>
      </c>
      <c r="K248" s="144">
        <v>0.230769230769231</v>
      </c>
      <c r="L248" s="144">
        <v>0.43413081944867998</v>
      </c>
      <c r="M248" s="144">
        <v>0.23170176419157901</v>
      </c>
      <c r="N248" s="144">
        <v>0.2024290552571</v>
      </c>
      <c r="O248" s="144">
        <v>0.34494773519163702</v>
      </c>
      <c r="P248" s="144">
        <v>0.16027874564459901</v>
      </c>
      <c r="Q248" s="145">
        <v>0.184668989547038</v>
      </c>
    </row>
    <row r="249" spans="2:17" ht="15" customHeight="1" x14ac:dyDescent="0.35">
      <c r="B249" s="140">
        <v>246</v>
      </c>
      <c r="C249" s="1" t="s">
        <v>1910</v>
      </c>
      <c r="D249" s="1" t="s">
        <v>1911</v>
      </c>
      <c r="E249" s="1" t="s">
        <v>1904</v>
      </c>
      <c r="F249" s="1" t="s">
        <v>1912</v>
      </c>
      <c r="G249" s="1" t="s">
        <v>1914</v>
      </c>
      <c r="H249" s="1" t="s">
        <v>1897</v>
      </c>
      <c r="I249" s="144">
        <v>0.52</v>
      </c>
      <c r="J249" s="144">
        <v>0.4</v>
      </c>
      <c r="K249" s="144">
        <v>0.12</v>
      </c>
      <c r="L249" s="144">
        <v>0.37746061791215202</v>
      </c>
      <c r="M249" s="144">
        <v>0.25547519319304102</v>
      </c>
      <c r="N249" s="144">
        <v>0.121985424719111</v>
      </c>
      <c r="O249" s="144">
        <v>0.14963503649634999</v>
      </c>
      <c r="P249" s="144">
        <v>0.145985401459854</v>
      </c>
      <c r="Q249" s="145">
        <v>3.6496350364962999E-3</v>
      </c>
    </row>
    <row r="250" spans="2:17" ht="15" customHeight="1" x14ac:dyDescent="0.35">
      <c r="B250" s="140">
        <v>247</v>
      </c>
      <c r="C250" s="1" t="s">
        <v>1910</v>
      </c>
      <c r="D250" s="1" t="s">
        <v>1915</v>
      </c>
      <c r="E250" s="1" t="s">
        <v>1904</v>
      </c>
      <c r="F250" s="1" t="s">
        <v>1912</v>
      </c>
      <c r="G250" s="1" t="s">
        <v>1914</v>
      </c>
      <c r="H250" s="1" t="s">
        <v>1897</v>
      </c>
      <c r="I250" s="144">
        <v>0.57142857142857095</v>
      </c>
      <c r="J250" s="144">
        <v>0.35714285714285698</v>
      </c>
      <c r="K250" s="144">
        <v>0.214285714285714</v>
      </c>
      <c r="L250" s="144">
        <v>0.50682146547708995</v>
      </c>
      <c r="M250" s="144">
        <v>0.30316047982189398</v>
      </c>
      <c r="N250" s="144">
        <v>0.203660985655196</v>
      </c>
      <c r="O250" s="144">
        <v>0.19512195121951201</v>
      </c>
      <c r="P250" s="144">
        <v>0.15331010452961699</v>
      </c>
      <c r="Q250" s="145">
        <v>4.1811846689895502E-2</v>
      </c>
    </row>
    <row r="251" spans="2:17" ht="15" customHeight="1" x14ac:dyDescent="0.35">
      <c r="B251" s="140">
        <v>248</v>
      </c>
      <c r="C251" s="1" t="s">
        <v>1910</v>
      </c>
      <c r="D251" s="1" t="s">
        <v>1917</v>
      </c>
      <c r="E251" s="1" t="s">
        <v>1904</v>
      </c>
      <c r="F251" s="1" t="s">
        <v>1912</v>
      </c>
      <c r="G251" s="1" t="s">
        <v>1914</v>
      </c>
      <c r="H251" s="1" t="s">
        <v>1897</v>
      </c>
      <c r="I251" s="144">
        <v>0.64285714285714302</v>
      </c>
      <c r="J251" s="144">
        <v>0.5</v>
      </c>
      <c r="K251" s="144">
        <v>0.14285714285714299</v>
      </c>
      <c r="L251" s="144">
        <v>0.50341215945909701</v>
      </c>
      <c r="M251" s="144">
        <v>0.36171245569021299</v>
      </c>
      <c r="N251" s="144">
        <v>0.14169970376888399</v>
      </c>
      <c r="O251" s="144">
        <v>0.32191780821917798</v>
      </c>
      <c r="P251" s="144">
        <v>0.267123287671233</v>
      </c>
      <c r="Q251" s="145">
        <v>5.4794520547945098E-2</v>
      </c>
    </row>
    <row r="252" spans="2:17" ht="15" customHeight="1" x14ac:dyDescent="0.35">
      <c r="B252" s="140">
        <v>249</v>
      </c>
      <c r="C252" s="1" t="s">
        <v>1910</v>
      </c>
      <c r="D252" s="1" t="s">
        <v>1918</v>
      </c>
      <c r="E252" s="1" t="s">
        <v>1904</v>
      </c>
      <c r="F252" s="1" t="s">
        <v>1912</v>
      </c>
      <c r="G252" s="1" t="s">
        <v>1914</v>
      </c>
      <c r="H252" s="1" t="s">
        <v>1897</v>
      </c>
      <c r="I252" s="144">
        <v>0.66666666666666696</v>
      </c>
      <c r="J252" s="144">
        <v>0.46666666666666701</v>
      </c>
      <c r="K252" s="144">
        <v>0.2</v>
      </c>
      <c r="L252" s="144">
        <v>0.51253122835923104</v>
      </c>
      <c r="M252" s="144">
        <v>0.31488512822178999</v>
      </c>
      <c r="N252" s="144">
        <v>0.19764610013744</v>
      </c>
      <c r="O252" s="144">
        <v>0.206081081081081</v>
      </c>
      <c r="P252" s="144">
        <v>0.121621621621622</v>
      </c>
      <c r="Q252" s="145">
        <v>8.4459459459459402E-2</v>
      </c>
    </row>
    <row r="253" spans="2:17" ht="15" customHeight="1" x14ac:dyDescent="0.35">
      <c r="B253" s="140">
        <v>250</v>
      </c>
      <c r="C253" s="1" t="s">
        <v>1910</v>
      </c>
      <c r="D253" s="1" t="s">
        <v>1919</v>
      </c>
      <c r="E253" s="1" t="s">
        <v>1904</v>
      </c>
      <c r="F253" s="1" t="s">
        <v>1912</v>
      </c>
      <c r="G253" s="1" t="s">
        <v>1914</v>
      </c>
      <c r="H253" s="1" t="s">
        <v>1897</v>
      </c>
      <c r="I253" s="144">
        <v>0.60714285714285698</v>
      </c>
      <c r="J253" s="144">
        <v>0.42857142857142899</v>
      </c>
      <c r="K253" s="144">
        <v>0.17857142857142899</v>
      </c>
      <c r="L253" s="144">
        <v>0.44529387230826001</v>
      </c>
      <c r="M253" s="144">
        <v>0.26231131420735398</v>
      </c>
      <c r="N253" s="144">
        <v>0.182982558100906</v>
      </c>
      <c r="O253" s="144">
        <v>0.211072664359861</v>
      </c>
      <c r="P253" s="144">
        <v>0.173010380622837</v>
      </c>
      <c r="Q253" s="145">
        <v>3.8062283737024298E-2</v>
      </c>
    </row>
    <row r="254" spans="2:17" ht="15" customHeight="1" x14ac:dyDescent="0.35">
      <c r="B254" s="140">
        <v>251</v>
      </c>
      <c r="C254" s="135" t="s">
        <v>1903</v>
      </c>
      <c r="D254" s="135" t="s">
        <v>1920</v>
      </c>
      <c r="E254" s="135" t="s">
        <v>1904</v>
      </c>
      <c r="F254" s="135" t="s">
        <v>1921</v>
      </c>
      <c r="G254" s="135" t="s">
        <v>1923</v>
      </c>
      <c r="H254" s="135" t="s">
        <v>1897</v>
      </c>
      <c r="I254" s="146">
        <v>0.565217391304348</v>
      </c>
      <c r="J254" s="146">
        <v>0.26086956521739102</v>
      </c>
      <c r="K254" s="146">
        <v>0.30434782608695699</v>
      </c>
      <c r="L254" s="146">
        <v>0.49057523434321398</v>
      </c>
      <c r="M254" s="146">
        <v>0.19200838747493901</v>
      </c>
      <c r="N254" s="146">
        <v>0.298566846868275</v>
      </c>
      <c r="O254" s="146">
        <v>0.31884057971014501</v>
      </c>
      <c r="P254" s="146">
        <v>4.3478260869565202E-2</v>
      </c>
      <c r="Q254" s="147">
        <v>0.27536231884057999</v>
      </c>
    </row>
    <row r="255" spans="2:17" ht="15" customHeight="1" x14ac:dyDescent="0.35">
      <c r="B255" s="140">
        <v>252</v>
      </c>
      <c r="C255" s="135" t="s">
        <v>1903</v>
      </c>
      <c r="D255" s="135" t="s">
        <v>1925</v>
      </c>
      <c r="E255" s="135" t="s">
        <v>1904</v>
      </c>
      <c r="F255" s="135" t="s">
        <v>1921</v>
      </c>
      <c r="G255" s="135" t="s">
        <v>1923</v>
      </c>
      <c r="H255" s="135" t="s">
        <v>1897</v>
      </c>
      <c r="I255" s="146">
        <v>0.72413793103448298</v>
      </c>
      <c r="J255" s="146">
        <v>0.34482758620689702</v>
      </c>
      <c r="K255" s="146">
        <v>0.37931034482758602</v>
      </c>
      <c r="L255" s="146">
        <v>0.62130648239456399</v>
      </c>
      <c r="M255" s="146">
        <v>0.27288923398822301</v>
      </c>
      <c r="N255" s="146">
        <v>0.34841724840634097</v>
      </c>
      <c r="O255" s="146">
        <v>0.42456140350877197</v>
      </c>
      <c r="P255" s="146">
        <v>0.21052631578947401</v>
      </c>
      <c r="Q255" s="147">
        <v>0.214035087719298</v>
      </c>
    </row>
    <row r="256" spans="2:17" ht="15" customHeight="1" x14ac:dyDescent="0.35">
      <c r="B256" s="140">
        <v>253</v>
      </c>
      <c r="C256" s="135" t="s">
        <v>1903</v>
      </c>
      <c r="D256" s="135" t="s">
        <v>1927</v>
      </c>
      <c r="E256" s="135" t="s">
        <v>1904</v>
      </c>
      <c r="F256" s="135" t="s">
        <v>1921</v>
      </c>
      <c r="G256" s="135" t="s">
        <v>1923</v>
      </c>
      <c r="H256" s="135" t="s">
        <v>1897</v>
      </c>
      <c r="I256" s="146">
        <v>0.76923076923076905</v>
      </c>
      <c r="J256" s="146">
        <v>0.53846153846153799</v>
      </c>
      <c r="K256" s="146">
        <v>0.230769230769231</v>
      </c>
      <c r="L256" s="146">
        <v>0.64622601574188199</v>
      </c>
      <c r="M256" s="146">
        <v>0.46689659136406197</v>
      </c>
      <c r="N256" s="146">
        <v>0.17932942437782001</v>
      </c>
      <c r="O256" s="146">
        <v>0.55871886120996395</v>
      </c>
      <c r="P256" s="146">
        <v>0.49822064056939502</v>
      </c>
      <c r="Q256" s="147">
        <v>6.0498220640569401E-2</v>
      </c>
    </row>
    <row r="257" spans="2:17" ht="15" customHeight="1" x14ac:dyDescent="0.35">
      <c r="B257" s="140">
        <v>254</v>
      </c>
      <c r="C257" s="135" t="s">
        <v>1903</v>
      </c>
      <c r="D257" s="135" t="s">
        <v>1928</v>
      </c>
      <c r="E257" s="135" t="s">
        <v>1904</v>
      </c>
      <c r="F257" s="135" t="s">
        <v>1921</v>
      </c>
      <c r="G257" s="135" t="s">
        <v>1923</v>
      </c>
      <c r="H257" s="135" t="s">
        <v>1897</v>
      </c>
      <c r="I257" s="146">
        <v>0.70370370370370405</v>
      </c>
      <c r="J257" s="146">
        <v>0.37037037037037002</v>
      </c>
      <c r="K257" s="146">
        <v>0.33333333333333298</v>
      </c>
      <c r="L257" s="146">
        <v>0.59545414019383502</v>
      </c>
      <c r="M257" s="146">
        <v>0.27976277439795399</v>
      </c>
      <c r="N257" s="146">
        <v>0.31569136579588097</v>
      </c>
      <c r="O257" s="146">
        <v>0.43157894736842101</v>
      </c>
      <c r="P257" s="146">
        <v>0.22456140350877199</v>
      </c>
      <c r="Q257" s="147">
        <v>0.20701754385964899</v>
      </c>
    </row>
    <row r="258" spans="2:17" ht="15" customHeight="1" x14ac:dyDescent="0.35">
      <c r="B258" s="140">
        <v>255</v>
      </c>
      <c r="C258" s="135" t="s">
        <v>1903</v>
      </c>
      <c r="D258" s="135" t="s">
        <v>1929</v>
      </c>
      <c r="E258" s="135" t="s">
        <v>1904</v>
      </c>
      <c r="F258" s="135" t="s">
        <v>1921</v>
      </c>
      <c r="G258" s="135" t="s">
        <v>1923</v>
      </c>
      <c r="H258" s="135" t="s">
        <v>1897</v>
      </c>
      <c r="I258" s="146">
        <v>0.8</v>
      </c>
      <c r="J258" s="146">
        <v>0.64</v>
      </c>
      <c r="K258" s="146">
        <v>0.16</v>
      </c>
      <c r="L258" s="146">
        <v>0.64537272729551798</v>
      </c>
      <c r="M258" s="146">
        <v>0.50478172168642599</v>
      </c>
      <c r="N258" s="146">
        <v>0.14059100560909299</v>
      </c>
      <c r="O258" s="146">
        <v>0.57692307692307698</v>
      </c>
      <c r="P258" s="146">
        <v>0.51048951048951097</v>
      </c>
      <c r="Q258" s="147">
        <v>6.6433566433566404E-2</v>
      </c>
    </row>
    <row r="259" spans="2:17" ht="15" customHeight="1" x14ac:dyDescent="0.35">
      <c r="B259" s="140">
        <v>256</v>
      </c>
      <c r="C259" s="135" t="s">
        <v>1906</v>
      </c>
      <c r="D259" s="135" t="s">
        <v>1920</v>
      </c>
      <c r="E259" s="135" t="s">
        <v>1904</v>
      </c>
      <c r="F259" s="135" t="s">
        <v>1921</v>
      </c>
      <c r="G259" s="135" t="s">
        <v>1923</v>
      </c>
      <c r="H259" s="135" t="s">
        <v>1897</v>
      </c>
      <c r="I259" s="146">
        <v>0.5</v>
      </c>
      <c r="J259" s="146">
        <v>0.33333333333333298</v>
      </c>
      <c r="K259" s="146">
        <v>0.16666666666666699</v>
      </c>
      <c r="L259" s="146">
        <v>0.39588782651326399</v>
      </c>
      <c r="M259" s="146">
        <v>0.21164012722533901</v>
      </c>
      <c r="N259" s="146">
        <v>0.184247699287925</v>
      </c>
      <c r="O259" s="146">
        <v>0.102189781021898</v>
      </c>
      <c r="P259" s="146">
        <v>2.9197080291970701E-2</v>
      </c>
      <c r="Q259" s="147">
        <v>7.2992700729927099E-2</v>
      </c>
    </row>
    <row r="260" spans="2:17" ht="15" customHeight="1" x14ac:dyDescent="0.35">
      <c r="B260" s="140">
        <v>257</v>
      </c>
      <c r="C260" s="135" t="s">
        <v>1906</v>
      </c>
      <c r="D260" s="135" t="s">
        <v>1925</v>
      </c>
      <c r="E260" s="135" t="s">
        <v>1904</v>
      </c>
      <c r="F260" s="135" t="s">
        <v>1921</v>
      </c>
      <c r="G260" s="135" t="s">
        <v>1923</v>
      </c>
      <c r="H260" s="135" t="s">
        <v>1897</v>
      </c>
      <c r="I260" s="146">
        <v>0.57142857142857095</v>
      </c>
      <c r="J260" s="146">
        <v>0.28571428571428598</v>
      </c>
      <c r="K260" s="146">
        <v>0.28571428571428598</v>
      </c>
      <c r="L260" s="146">
        <v>0.47522748330879699</v>
      </c>
      <c r="M260" s="146">
        <v>0.213692342344801</v>
      </c>
      <c r="N260" s="146">
        <v>0.26153514096399599</v>
      </c>
      <c r="O260" s="146">
        <v>0.20284697508896801</v>
      </c>
      <c r="P260" s="146">
        <v>0.185053380782918</v>
      </c>
      <c r="Q260" s="147">
        <v>1.77935943060499E-2</v>
      </c>
    </row>
    <row r="261" spans="2:17" ht="15" customHeight="1" x14ac:dyDescent="0.35">
      <c r="B261" s="140">
        <v>258</v>
      </c>
      <c r="C261" s="135" t="s">
        <v>1906</v>
      </c>
      <c r="D261" s="135" t="s">
        <v>1927</v>
      </c>
      <c r="E261" s="135" t="s">
        <v>1904</v>
      </c>
      <c r="F261" s="135" t="s">
        <v>1921</v>
      </c>
      <c r="G261" s="135" t="s">
        <v>1923</v>
      </c>
      <c r="H261" s="135" t="s">
        <v>1897</v>
      </c>
      <c r="I261" s="146">
        <v>0.6</v>
      </c>
      <c r="J261" s="146">
        <v>0.48</v>
      </c>
      <c r="K261" s="146">
        <v>0.12</v>
      </c>
      <c r="L261" s="146">
        <v>0.50764412655106095</v>
      </c>
      <c r="M261" s="146">
        <v>0.43580638508674502</v>
      </c>
      <c r="N261" s="146">
        <v>7.1837741464315902E-2</v>
      </c>
      <c r="O261" s="146">
        <v>0.34767025089605702</v>
      </c>
      <c r="P261" s="146">
        <v>0.207885304659498</v>
      </c>
      <c r="Q261" s="147">
        <v>0.13978494623655899</v>
      </c>
    </row>
    <row r="262" spans="2:17" ht="15" customHeight="1" x14ac:dyDescent="0.35">
      <c r="B262" s="140">
        <v>259</v>
      </c>
      <c r="C262" s="135" t="s">
        <v>1906</v>
      </c>
      <c r="D262" s="135" t="s">
        <v>1928</v>
      </c>
      <c r="E262" s="135" t="s">
        <v>1904</v>
      </c>
      <c r="F262" s="135" t="s">
        <v>1921</v>
      </c>
      <c r="G262" s="135" t="s">
        <v>1923</v>
      </c>
      <c r="H262" s="135" t="s">
        <v>1897</v>
      </c>
      <c r="I262" s="146">
        <v>0.64285714285714302</v>
      </c>
      <c r="J262" s="146">
        <v>0.42857142857142899</v>
      </c>
      <c r="K262" s="146">
        <v>0.214285714285714</v>
      </c>
      <c r="L262" s="146">
        <v>0.54219057085442202</v>
      </c>
      <c r="M262" s="146">
        <v>0.33428630866513998</v>
      </c>
      <c r="N262" s="146">
        <v>0.20790426218928301</v>
      </c>
      <c r="O262" s="146">
        <v>0.22261484098939899</v>
      </c>
      <c r="P262" s="146">
        <v>0.21201413427561799</v>
      </c>
      <c r="Q262" s="147">
        <v>1.06007067137809E-2</v>
      </c>
    </row>
    <row r="263" spans="2:17" ht="15" customHeight="1" x14ac:dyDescent="0.35">
      <c r="B263" s="140">
        <v>260</v>
      </c>
      <c r="C263" s="135" t="s">
        <v>1906</v>
      </c>
      <c r="D263" s="135" t="s">
        <v>1929</v>
      </c>
      <c r="E263" s="135" t="s">
        <v>1904</v>
      </c>
      <c r="F263" s="135" t="s">
        <v>1921</v>
      </c>
      <c r="G263" s="135" t="s">
        <v>1923</v>
      </c>
      <c r="H263" s="135" t="s">
        <v>1897</v>
      </c>
      <c r="I263" s="146">
        <v>0.68</v>
      </c>
      <c r="J263" s="146">
        <v>0.64</v>
      </c>
      <c r="K263" s="146">
        <v>0.04</v>
      </c>
      <c r="L263" s="146">
        <v>0.59384994780912304</v>
      </c>
      <c r="M263" s="146">
        <v>0.56701567496701699</v>
      </c>
      <c r="N263" s="146">
        <v>2.68342728421056E-2</v>
      </c>
      <c r="O263" s="146">
        <v>0.36395759717314502</v>
      </c>
      <c r="P263" s="146">
        <v>0.23321554770318001</v>
      </c>
      <c r="Q263" s="147">
        <v>0.13074204946996501</v>
      </c>
    </row>
    <row r="264" spans="2:17" ht="15" customHeight="1" x14ac:dyDescent="0.35">
      <c r="B264" s="140">
        <v>261</v>
      </c>
      <c r="C264" s="135" t="s">
        <v>1908</v>
      </c>
      <c r="D264" s="135" t="s">
        <v>1920</v>
      </c>
      <c r="E264" s="135" t="s">
        <v>1904</v>
      </c>
      <c r="F264" s="135" t="s">
        <v>1921</v>
      </c>
      <c r="G264" s="135" t="s">
        <v>1923</v>
      </c>
      <c r="H264" s="135" t="s">
        <v>1897</v>
      </c>
      <c r="I264" s="146">
        <v>0.66666666666666696</v>
      </c>
      <c r="J264" s="146">
        <v>0.33333333333333298</v>
      </c>
      <c r="K264" s="146">
        <v>0.33333333333333298</v>
      </c>
      <c r="L264" s="146">
        <v>0.54130553493723299</v>
      </c>
      <c r="M264" s="146">
        <v>0.199049947228606</v>
      </c>
      <c r="N264" s="146">
        <v>0.34225558770862702</v>
      </c>
      <c r="O264" s="146">
        <v>0.32851985559566799</v>
      </c>
      <c r="P264" s="146">
        <v>5.0541516245487299E-2</v>
      </c>
      <c r="Q264" s="147">
        <v>0.27797833935018001</v>
      </c>
    </row>
    <row r="265" spans="2:17" ht="15" customHeight="1" x14ac:dyDescent="0.35">
      <c r="B265" s="140">
        <v>262</v>
      </c>
      <c r="C265" s="135" t="s">
        <v>1908</v>
      </c>
      <c r="D265" s="135" t="s">
        <v>1925</v>
      </c>
      <c r="E265" s="135" t="s">
        <v>1904</v>
      </c>
      <c r="F265" s="135" t="s">
        <v>1921</v>
      </c>
      <c r="G265" s="135" t="s">
        <v>1923</v>
      </c>
      <c r="H265" s="135" t="s">
        <v>1897</v>
      </c>
      <c r="I265" s="146">
        <v>0.71428571428571397</v>
      </c>
      <c r="J265" s="146">
        <v>0.28571428571428598</v>
      </c>
      <c r="K265" s="146">
        <v>0.42857142857142899</v>
      </c>
      <c r="L265" s="146">
        <v>0.65510933819741002</v>
      </c>
      <c r="M265" s="146">
        <v>0.26707932813794</v>
      </c>
      <c r="N265" s="146">
        <v>0.38803001005947002</v>
      </c>
      <c r="O265" s="146">
        <v>0.42253521126760502</v>
      </c>
      <c r="P265" s="146">
        <v>0.20422535211267601</v>
      </c>
      <c r="Q265" s="147">
        <v>0.21830985915493001</v>
      </c>
    </row>
    <row r="266" spans="2:17" ht="15" customHeight="1" x14ac:dyDescent="0.35">
      <c r="B266" s="140">
        <v>263</v>
      </c>
      <c r="C266" s="135" t="s">
        <v>1908</v>
      </c>
      <c r="D266" s="135" t="s">
        <v>1927</v>
      </c>
      <c r="E266" s="135" t="s">
        <v>1904</v>
      </c>
      <c r="F266" s="135" t="s">
        <v>1921</v>
      </c>
      <c r="G266" s="135" t="s">
        <v>1923</v>
      </c>
      <c r="H266" s="135" t="s">
        <v>1897</v>
      </c>
      <c r="I266" s="146">
        <v>0.80769230769230804</v>
      </c>
      <c r="J266" s="146">
        <v>0.53846153846153799</v>
      </c>
      <c r="K266" s="146">
        <v>0.269230769230769</v>
      </c>
      <c r="L266" s="146">
        <v>0.68989888027546797</v>
      </c>
      <c r="M266" s="146">
        <v>0.46689659136406197</v>
      </c>
      <c r="N266" s="146">
        <v>0.223002288911405</v>
      </c>
      <c r="O266" s="146">
        <v>0.56227758007117401</v>
      </c>
      <c r="P266" s="146">
        <v>0.49822064056939502</v>
      </c>
      <c r="Q266" s="147">
        <v>6.4056939501779306E-2</v>
      </c>
    </row>
    <row r="267" spans="2:17" ht="15" customHeight="1" x14ac:dyDescent="0.35">
      <c r="B267" s="140">
        <v>264</v>
      </c>
      <c r="C267" s="135" t="s">
        <v>1908</v>
      </c>
      <c r="D267" s="135" t="s">
        <v>1928</v>
      </c>
      <c r="E267" s="135" t="s">
        <v>1904</v>
      </c>
      <c r="F267" s="135" t="s">
        <v>1921</v>
      </c>
      <c r="G267" s="135" t="s">
        <v>1923</v>
      </c>
      <c r="H267" s="135" t="s">
        <v>1897</v>
      </c>
      <c r="I267" s="146">
        <v>0.69230769230769196</v>
      </c>
      <c r="J267" s="146">
        <v>0.30769230769230799</v>
      </c>
      <c r="K267" s="146">
        <v>0.38461538461538503</v>
      </c>
      <c r="L267" s="146">
        <v>0.63109382473370501</v>
      </c>
      <c r="M267" s="146">
        <v>0.27364580273579697</v>
      </c>
      <c r="N267" s="146">
        <v>0.35744802199790798</v>
      </c>
      <c r="O267" s="146">
        <v>0.42957746478873199</v>
      </c>
      <c r="P267" s="146">
        <v>0.21830985915492901</v>
      </c>
      <c r="Q267" s="147">
        <v>0.21126760563380301</v>
      </c>
    </row>
    <row r="268" spans="2:17" ht="15" customHeight="1" x14ac:dyDescent="0.35">
      <c r="B268" s="140">
        <v>265</v>
      </c>
      <c r="C268" s="135" t="s">
        <v>1908</v>
      </c>
      <c r="D268" s="135" t="s">
        <v>1929</v>
      </c>
      <c r="E268" s="135" t="s">
        <v>1904</v>
      </c>
      <c r="F268" s="135" t="s">
        <v>1921</v>
      </c>
      <c r="G268" s="135" t="s">
        <v>1923</v>
      </c>
      <c r="H268" s="135" t="s">
        <v>1897</v>
      </c>
      <c r="I268" s="146">
        <v>0.73913043478260898</v>
      </c>
      <c r="J268" s="146">
        <v>0.52173913043478304</v>
      </c>
      <c r="K268" s="146">
        <v>0.217391304347826</v>
      </c>
      <c r="L268" s="146">
        <v>0.63094102795488305</v>
      </c>
      <c r="M268" s="146">
        <v>0.43675456287449899</v>
      </c>
      <c r="N268" s="146">
        <v>0.19418646508038501</v>
      </c>
      <c r="O268" s="146">
        <v>0.52898550724637705</v>
      </c>
      <c r="P268" s="146">
        <v>0.45652173913043498</v>
      </c>
      <c r="Q268" s="147">
        <v>7.2463768115941907E-2</v>
      </c>
    </row>
    <row r="269" spans="2:17" ht="15" customHeight="1" x14ac:dyDescent="0.35">
      <c r="B269" s="140">
        <v>266</v>
      </c>
      <c r="C269" s="135" t="s">
        <v>1909</v>
      </c>
      <c r="D269" s="135" t="s">
        <v>1920</v>
      </c>
      <c r="E269" s="135" t="s">
        <v>1904</v>
      </c>
      <c r="F269" s="135" t="s">
        <v>1921</v>
      </c>
      <c r="G269" s="135" t="s">
        <v>1923</v>
      </c>
      <c r="H269" s="135" t="s">
        <v>1897</v>
      </c>
      <c r="I269" s="146">
        <v>0.66666666666666696</v>
      </c>
      <c r="J269" s="146">
        <v>0.51851851851851805</v>
      </c>
      <c r="K269" s="146">
        <v>0.148148148148148</v>
      </c>
      <c r="L269" s="146">
        <v>0.53921897524502804</v>
      </c>
      <c r="M269" s="146">
        <v>0.36973711993665898</v>
      </c>
      <c r="N269" s="146">
        <v>0.16948185530836901</v>
      </c>
      <c r="O269" s="146">
        <v>0.31818181818181801</v>
      </c>
      <c r="P269" s="146">
        <v>0.111888111888112</v>
      </c>
      <c r="Q269" s="147">
        <v>0.206293706293706</v>
      </c>
    </row>
    <row r="270" spans="2:17" ht="15" customHeight="1" x14ac:dyDescent="0.35">
      <c r="B270" s="140">
        <v>267</v>
      </c>
      <c r="C270" s="135" t="s">
        <v>1909</v>
      </c>
      <c r="D270" s="135" t="s">
        <v>1925</v>
      </c>
      <c r="E270" s="135" t="s">
        <v>1904</v>
      </c>
      <c r="F270" s="135" t="s">
        <v>1921</v>
      </c>
      <c r="G270" s="135" t="s">
        <v>1923</v>
      </c>
      <c r="H270" s="135" t="s">
        <v>1897</v>
      </c>
      <c r="I270" s="146">
        <v>0.62068965517241403</v>
      </c>
      <c r="J270" s="146">
        <v>0.34482758620689702</v>
      </c>
      <c r="K270" s="146">
        <v>0.27586206896551702</v>
      </c>
      <c r="L270" s="146">
        <v>0.58500153284447298</v>
      </c>
      <c r="M270" s="146">
        <v>0.340678495664133</v>
      </c>
      <c r="N270" s="146">
        <v>0.24432303718033899</v>
      </c>
      <c r="O270" s="146">
        <v>0.39310344827586202</v>
      </c>
      <c r="P270" s="146">
        <v>0.24137931034482701</v>
      </c>
      <c r="Q270" s="147">
        <v>0.15172413793103401</v>
      </c>
    </row>
    <row r="271" spans="2:17" ht="15" customHeight="1" x14ac:dyDescent="0.35">
      <c r="B271" s="140">
        <v>268</v>
      </c>
      <c r="C271" s="135" t="s">
        <v>1909</v>
      </c>
      <c r="D271" s="135" t="s">
        <v>1927</v>
      </c>
      <c r="E271" s="135" t="s">
        <v>1904</v>
      </c>
      <c r="F271" s="135" t="s">
        <v>1921</v>
      </c>
      <c r="G271" s="135" t="s">
        <v>1923</v>
      </c>
      <c r="H271" s="135" t="s">
        <v>1897</v>
      </c>
      <c r="I271" s="146">
        <v>0.75</v>
      </c>
      <c r="J271" s="146">
        <v>0.64285714285714302</v>
      </c>
      <c r="K271" s="146">
        <v>0.107142857142857</v>
      </c>
      <c r="L271" s="146">
        <v>0.625781993608856</v>
      </c>
      <c r="M271" s="146">
        <v>0.55801680058716996</v>
      </c>
      <c r="N271" s="146">
        <v>6.7765193021686002E-2</v>
      </c>
      <c r="O271" s="146">
        <v>0.53979238754325198</v>
      </c>
      <c r="P271" s="146">
        <v>0.53979238754325198</v>
      </c>
      <c r="Q271" s="147">
        <v>0</v>
      </c>
    </row>
    <row r="272" spans="2:17" ht="15" customHeight="1" x14ac:dyDescent="0.35">
      <c r="B272" s="140">
        <v>269</v>
      </c>
      <c r="C272" s="135" t="s">
        <v>1909</v>
      </c>
      <c r="D272" s="135" t="s">
        <v>1928</v>
      </c>
      <c r="E272" s="135" t="s">
        <v>1904</v>
      </c>
      <c r="F272" s="135" t="s">
        <v>1921</v>
      </c>
      <c r="G272" s="135" t="s">
        <v>1923</v>
      </c>
      <c r="H272" s="135" t="s">
        <v>1897</v>
      </c>
      <c r="I272" s="146">
        <v>0.592592592592593</v>
      </c>
      <c r="J272" s="146">
        <v>0.37037037037037002</v>
      </c>
      <c r="K272" s="146">
        <v>0.22222222222222199</v>
      </c>
      <c r="L272" s="146">
        <v>0.55824045419162505</v>
      </c>
      <c r="M272" s="146">
        <v>0.35096229970082199</v>
      </c>
      <c r="N272" s="146">
        <v>0.207278154490803</v>
      </c>
      <c r="O272" s="146">
        <v>0.4</v>
      </c>
      <c r="P272" s="146">
        <v>0.25517241379310301</v>
      </c>
      <c r="Q272" s="147">
        <v>0.14482758620689701</v>
      </c>
    </row>
    <row r="273" spans="2:17" ht="15" customHeight="1" x14ac:dyDescent="0.35">
      <c r="B273" s="140">
        <v>270</v>
      </c>
      <c r="C273" s="135" t="s">
        <v>1909</v>
      </c>
      <c r="D273" s="135" t="s">
        <v>1929</v>
      </c>
      <c r="E273" s="135" t="s">
        <v>1904</v>
      </c>
      <c r="F273" s="135" t="s">
        <v>1921</v>
      </c>
      <c r="G273" s="135" t="s">
        <v>1923</v>
      </c>
      <c r="H273" s="135" t="s">
        <v>1897</v>
      </c>
      <c r="I273" s="146">
        <v>0.73076923076923095</v>
      </c>
      <c r="J273" s="146">
        <v>0.69230769230769196</v>
      </c>
      <c r="K273" s="146">
        <v>3.8461538461538498E-2</v>
      </c>
      <c r="L273" s="146">
        <v>0.66073507178778401</v>
      </c>
      <c r="M273" s="146">
        <v>0.63360085640753105</v>
      </c>
      <c r="N273" s="146">
        <v>2.7134215380253499E-2</v>
      </c>
      <c r="O273" s="146">
        <v>0.54794520547945202</v>
      </c>
      <c r="P273" s="146">
        <v>0.54109589041095896</v>
      </c>
      <c r="Q273" s="147">
        <v>6.8493150684930497E-3</v>
      </c>
    </row>
    <row r="274" spans="2:17" ht="15" customHeight="1" x14ac:dyDescent="0.35">
      <c r="B274" s="140">
        <v>271</v>
      </c>
      <c r="C274" s="135" t="s">
        <v>1910</v>
      </c>
      <c r="D274" s="135" t="s">
        <v>1920</v>
      </c>
      <c r="E274" s="135" t="s">
        <v>1904</v>
      </c>
      <c r="F274" s="135" t="s">
        <v>1921</v>
      </c>
      <c r="G274" s="135" t="s">
        <v>1923</v>
      </c>
      <c r="H274" s="135" t="s">
        <v>1897</v>
      </c>
      <c r="I274" s="146">
        <v>0.57692307692307698</v>
      </c>
      <c r="J274" s="146">
        <v>0.46153846153846201</v>
      </c>
      <c r="K274" s="146">
        <v>0.115384615384615</v>
      </c>
      <c r="L274" s="146">
        <v>0.39257131099569897</v>
      </c>
      <c r="M274" s="146">
        <v>0.22474772926693301</v>
      </c>
      <c r="N274" s="146">
        <v>0.16782358172876599</v>
      </c>
      <c r="O274" s="146">
        <v>0.11870503597122301</v>
      </c>
      <c r="P274" s="146">
        <v>5.7553956834532197E-2</v>
      </c>
      <c r="Q274" s="147">
        <v>6.1151079136690698E-2</v>
      </c>
    </row>
    <row r="275" spans="2:17" ht="15" customHeight="1" x14ac:dyDescent="0.35">
      <c r="B275" s="140">
        <v>272</v>
      </c>
      <c r="C275" s="135" t="s">
        <v>1910</v>
      </c>
      <c r="D275" s="135" t="s">
        <v>1925</v>
      </c>
      <c r="E275" s="135" t="s">
        <v>1904</v>
      </c>
      <c r="F275" s="135" t="s">
        <v>1921</v>
      </c>
      <c r="G275" s="135" t="s">
        <v>1923</v>
      </c>
      <c r="H275" s="135" t="s">
        <v>1897</v>
      </c>
      <c r="I275" s="146">
        <v>0.53571428571428603</v>
      </c>
      <c r="J275" s="146">
        <v>0.28571428571428598</v>
      </c>
      <c r="K275" s="146">
        <v>0.25</v>
      </c>
      <c r="L275" s="146">
        <v>0.45867979007418302</v>
      </c>
      <c r="M275" s="146">
        <v>0.21016476583326199</v>
      </c>
      <c r="N275" s="146">
        <v>0.24851502424092101</v>
      </c>
      <c r="O275" s="146">
        <v>0.185714285714286</v>
      </c>
      <c r="P275" s="146">
        <v>0.17857142857142799</v>
      </c>
      <c r="Q275" s="147">
        <v>7.1428571428571903E-3</v>
      </c>
    </row>
    <row r="276" spans="2:17" ht="15" customHeight="1" x14ac:dyDescent="0.35">
      <c r="B276" s="140">
        <v>273</v>
      </c>
      <c r="C276" s="135" t="s">
        <v>1910</v>
      </c>
      <c r="D276" s="135" t="s">
        <v>1927</v>
      </c>
      <c r="E276" s="135" t="s">
        <v>1904</v>
      </c>
      <c r="F276" s="135" t="s">
        <v>1921</v>
      </c>
      <c r="G276" s="135" t="s">
        <v>1923</v>
      </c>
      <c r="H276" s="135" t="s">
        <v>1897</v>
      </c>
      <c r="I276" s="146">
        <v>0.71428571428571397</v>
      </c>
      <c r="J276" s="146">
        <v>0.64285714285714302</v>
      </c>
      <c r="K276" s="146">
        <v>7.1428571428571397E-2</v>
      </c>
      <c r="L276" s="146">
        <v>0.58241100911781596</v>
      </c>
      <c r="M276" s="146">
        <v>0.52914543133304903</v>
      </c>
      <c r="N276" s="146">
        <v>5.3265577784766802E-2</v>
      </c>
      <c r="O276" s="146">
        <v>0.35460992907801397</v>
      </c>
      <c r="P276" s="146">
        <v>0.205673758865248</v>
      </c>
      <c r="Q276" s="147">
        <v>0.14893617021276601</v>
      </c>
    </row>
    <row r="277" spans="2:17" ht="15" customHeight="1" x14ac:dyDescent="0.35">
      <c r="B277" s="140">
        <v>274</v>
      </c>
      <c r="C277" s="135" t="s">
        <v>1910</v>
      </c>
      <c r="D277" s="135" t="s">
        <v>1928</v>
      </c>
      <c r="E277" s="135" t="s">
        <v>1904</v>
      </c>
      <c r="F277" s="135" t="s">
        <v>1921</v>
      </c>
      <c r="G277" s="135" t="s">
        <v>1923</v>
      </c>
      <c r="H277" s="135" t="s">
        <v>1897</v>
      </c>
      <c r="I277" s="146">
        <v>0.55555555555555602</v>
      </c>
      <c r="J277" s="146">
        <v>0.37037037037037002</v>
      </c>
      <c r="K277" s="146">
        <v>0.18518518518518501</v>
      </c>
      <c r="L277" s="146">
        <v>0.49069343050729097</v>
      </c>
      <c r="M277" s="146">
        <v>0.29111450978193099</v>
      </c>
      <c r="N277" s="146">
        <v>0.19957892072535899</v>
      </c>
      <c r="O277" s="146">
        <v>0.199288256227758</v>
      </c>
      <c r="P277" s="146">
        <v>0.199288256227758</v>
      </c>
      <c r="Q277" s="147">
        <v>0</v>
      </c>
    </row>
    <row r="278" spans="2:17" ht="15" customHeight="1" x14ac:dyDescent="0.35">
      <c r="B278" s="140">
        <v>275</v>
      </c>
      <c r="C278" s="135" t="s">
        <v>1910</v>
      </c>
      <c r="D278" s="135" t="s">
        <v>1929</v>
      </c>
      <c r="E278" s="135" t="s">
        <v>1904</v>
      </c>
      <c r="F278" s="135" t="s">
        <v>1921</v>
      </c>
      <c r="G278" s="135" t="s">
        <v>1923</v>
      </c>
      <c r="H278" s="135" t="s">
        <v>1897</v>
      </c>
      <c r="I278" s="146">
        <v>0.64</v>
      </c>
      <c r="J278" s="146">
        <v>0.64</v>
      </c>
      <c r="K278" s="146">
        <v>0</v>
      </c>
      <c r="L278" s="146">
        <v>0.56111478814172699</v>
      </c>
      <c r="M278" s="146">
        <v>0.54887892047460596</v>
      </c>
      <c r="N278" s="146">
        <v>1.22358676671205E-2</v>
      </c>
      <c r="O278" s="146">
        <v>0.35915492957746498</v>
      </c>
      <c r="P278" s="146">
        <v>0.21830985915492901</v>
      </c>
      <c r="Q278" s="147">
        <v>0.140845070422535</v>
      </c>
    </row>
    <row r="279" spans="2:17" ht="15" customHeight="1" x14ac:dyDescent="0.35">
      <c r="B279" s="140">
        <v>276</v>
      </c>
      <c r="C279" s="1" t="s">
        <v>1911</v>
      </c>
      <c r="D279" s="1" t="s">
        <v>1920</v>
      </c>
      <c r="E279" s="1" t="s">
        <v>1912</v>
      </c>
      <c r="F279" s="1" t="s">
        <v>1921</v>
      </c>
      <c r="G279" s="1" t="s">
        <v>1924</v>
      </c>
      <c r="H279" s="1" t="s">
        <v>1897</v>
      </c>
      <c r="I279" s="144">
        <v>0.57142857142857095</v>
      </c>
      <c r="J279" s="144">
        <v>0.57142857142857095</v>
      </c>
      <c r="K279" s="144">
        <v>0</v>
      </c>
      <c r="L279" s="144">
        <v>0.42874453045828897</v>
      </c>
      <c r="M279" s="144">
        <v>0.38246415041314002</v>
      </c>
      <c r="N279" s="144">
        <v>4.6280380045149297E-2</v>
      </c>
      <c r="O279" s="144">
        <v>0.16783216783216801</v>
      </c>
      <c r="P279" s="144">
        <v>0.111888111888112</v>
      </c>
      <c r="Q279" s="145">
        <v>5.5944055944056E-2</v>
      </c>
    </row>
    <row r="280" spans="2:17" ht="15" customHeight="1" x14ac:dyDescent="0.35">
      <c r="B280" s="140">
        <v>277</v>
      </c>
      <c r="C280" s="1" t="s">
        <v>1911</v>
      </c>
      <c r="D280" s="1" t="s">
        <v>1925</v>
      </c>
      <c r="E280" s="1" t="s">
        <v>1912</v>
      </c>
      <c r="F280" s="1" t="s">
        <v>1921</v>
      </c>
      <c r="G280" s="1" t="s">
        <v>1924</v>
      </c>
      <c r="H280" s="1" t="s">
        <v>1897</v>
      </c>
      <c r="I280" s="144">
        <v>0.58064516129032295</v>
      </c>
      <c r="J280" s="144">
        <v>0.45161290322580599</v>
      </c>
      <c r="K280" s="144">
        <v>0.12903225806451599</v>
      </c>
      <c r="L280" s="144">
        <v>0.449233932635971</v>
      </c>
      <c r="M280" s="144">
        <v>0.31414777439817598</v>
      </c>
      <c r="N280" s="144">
        <v>0.13508615823779499</v>
      </c>
      <c r="O280" s="144">
        <v>0.23263888888888901</v>
      </c>
      <c r="P280" s="144">
        <v>0.22916666666666699</v>
      </c>
      <c r="Q280" s="145">
        <v>3.47222222222232E-3</v>
      </c>
    </row>
    <row r="281" spans="2:17" ht="15" customHeight="1" x14ac:dyDescent="0.35">
      <c r="B281" s="140">
        <v>278</v>
      </c>
      <c r="C281" s="1" t="s">
        <v>1911</v>
      </c>
      <c r="D281" s="1" t="s">
        <v>1927</v>
      </c>
      <c r="E281" s="1" t="s">
        <v>1912</v>
      </c>
      <c r="F281" s="1" t="s">
        <v>1921</v>
      </c>
      <c r="G281" s="1" t="s">
        <v>1924</v>
      </c>
      <c r="H281" s="1" t="s">
        <v>1897</v>
      </c>
      <c r="I281" s="144">
        <v>0.60714285714285698</v>
      </c>
      <c r="J281" s="144">
        <v>0.57142857142857095</v>
      </c>
      <c r="K281" s="144">
        <v>3.5714285714285698E-2</v>
      </c>
      <c r="L281" s="144">
        <v>0.44581007118427601</v>
      </c>
      <c r="M281" s="144">
        <v>0.38719602640645001</v>
      </c>
      <c r="N281" s="144">
        <v>5.8614044777825301E-2</v>
      </c>
      <c r="O281" s="144">
        <v>0.35106382978723399</v>
      </c>
      <c r="P281" s="144">
        <v>0.19858156028368801</v>
      </c>
      <c r="Q281" s="145">
        <v>0.15248226950354599</v>
      </c>
    </row>
    <row r="282" spans="2:17" ht="15" customHeight="1" x14ac:dyDescent="0.35">
      <c r="B282" s="140">
        <v>279</v>
      </c>
      <c r="C282" s="1" t="s">
        <v>1911</v>
      </c>
      <c r="D282" s="1" t="s">
        <v>1928</v>
      </c>
      <c r="E282" s="1" t="s">
        <v>1912</v>
      </c>
      <c r="F282" s="1" t="s">
        <v>1921</v>
      </c>
      <c r="G282" s="1" t="s">
        <v>1924</v>
      </c>
      <c r="H282" s="1" t="s">
        <v>1897</v>
      </c>
      <c r="I282" s="144">
        <v>0.6</v>
      </c>
      <c r="J282" s="144">
        <v>0.53333333333333299</v>
      </c>
      <c r="K282" s="144">
        <v>6.6666666666666693E-2</v>
      </c>
      <c r="L282" s="144">
        <v>0.50279098373638798</v>
      </c>
      <c r="M282" s="144">
        <v>0.41651692215441699</v>
      </c>
      <c r="N282" s="144">
        <v>8.6274061581971095E-2</v>
      </c>
      <c r="O282" s="144">
        <v>0.25773195876288701</v>
      </c>
      <c r="P282" s="144">
        <v>0.25429553264604798</v>
      </c>
      <c r="Q282" s="145">
        <v>3.4364261168384402E-3</v>
      </c>
    </row>
    <row r="283" spans="2:17" ht="15" customHeight="1" x14ac:dyDescent="0.35">
      <c r="B283" s="140">
        <v>280</v>
      </c>
      <c r="C283" s="1" t="s">
        <v>1911</v>
      </c>
      <c r="D283" s="1" t="s">
        <v>1929</v>
      </c>
      <c r="E283" s="1" t="s">
        <v>1912</v>
      </c>
      <c r="F283" s="1" t="s">
        <v>1921</v>
      </c>
      <c r="G283" s="1" t="s">
        <v>1924</v>
      </c>
      <c r="H283" s="1" t="s">
        <v>1897</v>
      </c>
      <c r="I283" s="144">
        <v>0.67857142857142905</v>
      </c>
      <c r="J283" s="144">
        <v>0.57142857142857095</v>
      </c>
      <c r="K283" s="144">
        <v>0.107142857142857</v>
      </c>
      <c r="L283" s="144">
        <v>0.60862168715758402</v>
      </c>
      <c r="M283" s="144">
        <v>0.51578789846932005</v>
      </c>
      <c r="N283" s="144">
        <v>9.2833788688263696E-2</v>
      </c>
      <c r="O283" s="144">
        <v>0.33214285714285702</v>
      </c>
      <c r="P283" s="144">
        <v>0.185714285714286</v>
      </c>
      <c r="Q283" s="145">
        <v>0.14642857142857099</v>
      </c>
    </row>
    <row r="284" spans="2:17" ht="15" customHeight="1" x14ac:dyDescent="0.35">
      <c r="B284" s="140">
        <v>281</v>
      </c>
      <c r="C284" s="1" t="s">
        <v>1915</v>
      </c>
      <c r="D284" s="1" t="s">
        <v>1920</v>
      </c>
      <c r="E284" s="1" t="s">
        <v>1912</v>
      </c>
      <c r="F284" s="1" t="s">
        <v>1921</v>
      </c>
      <c r="G284" s="1" t="s">
        <v>1924</v>
      </c>
      <c r="H284" s="1" t="s">
        <v>1897</v>
      </c>
      <c r="I284" s="144">
        <v>0.56666666666666698</v>
      </c>
      <c r="J284" s="144">
        <v>0.46666666666666701</v>
      </c>
      <c r="K284" s="144">
        <v>0.1</v>
      </c>
      <c r="L284" s="144">
        <v>0.41500683638448699</v>
      </c>
      <c r="M284" s="144">
        <v>0.36357161287817402</v>
      </c>
      <c r="N284" s="144">
        <v>5.1435223506312598E-2</v>
      </c>
      <c r="O284" s="144">
        <v>0.21666666666666701</v>
      </c>
      <c r="P284" s="144">
        <v>0.2</v>
      </c>
      <c r="Q284" s="145">
        <v>1.6666666666666701E-2</v>
      </c>
    </row>
    <row r="285" spans="2:17" ht="15" customHeight="1" x14ac:dyDescent="0.35">
      <c r="B285" s="140">
        <v>282</v>
      </c>
      <c r="C285" s="1" t="s">
        <v>1915</v>
      </c>
      <c r="D285" s="1" t="s">
        <v>1925</v>
      </c>
      <c r="E285" s="1" t="s">
        <v>1912</v>
      </c>
      <c r="F285" s="1" t="s">
        <v>1921</v>
      </c>
      <c r="G285" s="1" t="s">
        <v>1924</v>
      </c>
      <c r="H285" s="1" t="s">
        <v>1897</v>
      </c>
      <c r="I285" s="144">
        <v>0.53125</v>
      </c>
      <c r="J285" s="144">
        <v>0.5</v>
      </c>
      <c r="K285" s="144">
        <v>3.125E-2</v>
      </c>
      <c r="L285" s="144">
        <v>0.50830960602923903</v>
      </c>
      <c r="M285" s="144">
        <v>0.47042144591975799</v>
      </c>
      <c r="N285" s="144">
        <v>3.78881601094802E-2</v>
      </c>
      <c r="O285" s="144">
        <v>0.28947368421052599</v>
      </c>
      <c r="P285" s="144">
        <v>0.25657894736842102</v>
      </c>
      <c r="Q285" s="145">
        <v>3.2894736842105199E-2</v>
      </c>
    </row>
    <row r="286" spans="2:17" ht="15" customHeight="1" x14ac:dyDescent="0.35">
      <c r="B286" s="140">
        <v>283</v>
      </c>
      <c r="C286" s="1" t="s">
        <v>1915</v>
      </c>
      <c r="D286" s="1" t="s">
        <v>1927</v>
      </c>
      <c r="E286" s="1" t="s">
        <v>1912</v>
      </c>
      <c r="F286" s="1" t="s">
        <v>1921</v>
      </c>
      <c r="G286" s="1" t="s">
        <v>1924</v>
      </c>
      <c r="H286" s="1" t="s">
        <v>1897</v>
      </c>
      <c r="I286" s="144">
        <v>0.64516129032258096</v>
      </c>
      <c r="J286" s="144">
        <v>0.51612903225806495</v>
      </c>
      <c r="K286" s="144">
        <v>0.12903225806451599</v>
      </c>
      <c r="L286" s="144">
        <v>0.54282694030923695</v>
      </c>
      <c r="M286" s="144">
        <v>0.39808805052834101</v>
      </c>
      <c r="N286" s="144">
        <v>0.144738889780896</v>
      </c>
      <c r="O286" s="144">
        <v>0.40802675585284298</v>
      </c>
      <c r="P286" s="144">
        <v>0.22742474916388</v>
      </c>
      <c r="Q286" s="145">
        <v>0.18060200668896301</v>
      </c>
    </row>
    <row r="287" spans="2:17" ht="15" customHeight="1" x14ac:dyDescent="0.35">
      <c r="B287" s="140">
        <v>284</v>
      </c>
      <c r="C287" s="1" t="s">
        <v>1915</v>
      </c>
      <c r="D287" s="1" t="s">
        <v>1928</v>
      </c>
      <c r="E287" s="1" t="s">
        <v>1912</v>
      </c>
      <c r="F287" s="1" t="s">
        <v>1921</v>
      </c>
      <c r="G287" s="1" t="s">
        <v>1924</v>
      </c>
      <c r="H287" s="1" t="s">
        <v>1897</v>
      </c>
      <c r="I287" s="144">
        <v>0.67647058823529405</v>
      </c>
      <c r="J287" s="144">
        <v>0.64705882352941202</v>
      </c>
      <c r="K287" s="144">
        <v>2.9411764705882401E-2</v>
      </c>
      <c r="L287" s="144">
        <v>0.62947421484504396</v>
      </c>
      <c r="M287" s="144">
        <v>0.62366522422936299</v>
      </c>
      <c r="N287" s="144">
        <v>5.8089906156816402E-3</v>
      </c>
      <c r="O287" s="144">
        <v>0.33440514469453397</v>
      </c>
      <c r="P287" s="144">
        <v>0.29581993569131798</v>
      </c>
      <c r="Q287" s="145">
        <v>3.8585209003215402E-2</v>
      </c>
    </row>
    <row r="288" spans="2:17" ht="15" customHeight="1" x14ac:dyDescent="0.35">
      <c r="B288" s="140">
        <v>285</v>
      </c>
      <c r="C288" s="1" t="s">
        <v>1915</v>
      </c>
      <c r="D288" s="1" t="s">
        <v>1929</v>
      </c>
      <c r="E288" s="1" t="s">
        <v>1912</v>
      </c>
      <c r="F288" s="1" t="s">
        <v>1921</v>
      </c>
      <c r="G288" s="1" t="s">
        <v>1924</v>
      </c>
      <c r="H288" s="1" t="s">
        <v>1897</v>
      </c>
      <c r="I288" s="144">
        <v>0.62068965517241403</v>
      </c>
      <c r="J288" s="144">
        <v>0.41379310344827602</v>
      </c>
      <c r="K288" s="144">
        <v>0.20689655172413801</v>
      </c>
      <c r="L288" s="144">
        <v>0.57819149684187299</v>
      </c>
      <c r="M288" s="144">
        <v>0.39614447759419602</v>
      </c>
      <c r="N288" s="144">
        <v>0.18204701924767699</v>
      </c>
      <c r="O288" s="144">
        <v>0.39597315436241598</v>
      </c>
      <c r="P288" s="144">
        <v>0.221476510067114</v>
      </c>
      <c r="Q288" s="145">
        <v>0.17449664429530201</v>
      </c>
    </row>
    <row r="289" spans="2:17" ht="15" customHeight="1" x14ac:dyDescent="0.35">
      <c r="B289" s="140">
        <v>286</v>
      </c>
      <c r="C289" s="1" t="s">
        <v>1917</v>
      </c>
      <c r="D289" s="1" t="s">
        <v>1920</v>
      </c>
      <c r="E289" s="1" t="s">
        <v>1912</v>
      </c>
      <c r="F289" s="1" t="s">
        <v>1921</v>
      </c>
      <c r="G289" s="1" t="s">
        <v>1924</v>
      </c>
      <c r="H289" s="1" t="s">
        <v>1897</v>
      </c>
      <c r="I289" s="144">
        <v>0.67741935483870996</v>
      </c>
      <c r="J289" s="144">
        <v>0.64516129032258096</v>
      </c>
      <c r="K289" s="144">
        <v>3.2258064516128997E-2</v>
      </c>
      <c r="L289" s="144">
        <v>0.44653044640161599</v>
      </c>
      <c r="M289" s="144">
        <v>0.43127503369240799</v>
      </c>
      <c r="N289" s="144">
        <v>1.52554127092084E-2</v>
      </c>
      <c r="O289" s="144">
        <v>0.30434782608695699</v>
      </c>
      <c r="P289" s="144">
        <v>0.19397993311036801</v>
      </c>
      <c r="Q289" s="145">
        <v>0.110367892976589</v>
      </c>
    </row>
    <row r="290" spans="2:17" ht="15" customHeight="1" x14ac:dyDescent="0.35">
      <c r="B290" s="140">
        <v>287</v>
      </c>
      <c r="C290" s="1" t="s">
        <v>1917</v>
      </c>
      <c r="D290" s="1" t="s">
        <v>1925</v>
      </c>
      <c r="E290" s="1" t="s">
        <v>1912</v>
      </c>
      <c r="F290" s="1" t="s">
        <v>1921</v>
      </c>
      <c r="G290" s="1" t="s">
        <v>1924</v>
      </c>
      <c r="H290" s="1" t="s">
        <v>1897</v>
      </c>
      <c r="I290" s="144">
        <v>0.67647058823529405</v>
      </c>
      <c r="J290" s="144">
        <v>0.58823529411764697</v>
      </c>
      <c r="K290" s="144">
        <v>8.8235294117647106E-2</v>
      </c>
      <c r="L290" s="144">
        <v>0.55335210479363295</v>
      </c>
      <c r="M290" s="144">
        <v>0.455580295883522</v>
      </c>
      <c r="N290" s="144">
        <v>9.7771808910110697E-2</v>
      </c>
      <c r="O290" s="144">
        <v>0.38157894736842102</v>
      </c>
      <c r="P290" s="144">
        <v>0.32236842105263103</v>
      </c>
      <c r="Q290" s="145">
        <v>5.9210526315789498E-2</v>
      </c>
    </row>
    <row r="291" spans="2:17" ht="15" customHeight="1" x14ac:dyDescent="0.35">
      <c r="B291" s="140">
        <v>288</v>
      </c>
      <c r="C291" s="1" t="s">
        <v>1917</v>
      </c>
      <c r="D291" s="1" t="s">
        <v>1927</v>
      </c>
      <c r="E291" s="1" t="s">
        <v>1912</v>
      </c>
      <c r="F291" s="1" t="s">
        <v>1921</v>
      </c>
      <c r="G291" s="1" t="s">
        <v>1924</v>
      </c>
      <c r="H291" s="1" t="s">
        <v>1897</v>
      </c>
      <c r="I291" s="144">
        <v>0.66666666666666696</v>
      </c>
      <c r="J291" s="144">
        <v>0.6</v>
      </c>
      <c r="K291" s="144">
        <v>6.6666666666666693E-2</v>
      </c>
      <c r="L291" s="144">
        <v>0.56506812593735001</v>
      </c>
      <c r="M291" s="144">
        <v>0.48283078411243502</v>
      </c>
      <c r="N291" s="144">
        <v>8.2237341824915697E-2</v>
      </c>
      <c r="O291" s="144">
        <v>0.34074074074074101</v>
      </c>
      <c r="P291" s="144">
        <v>0.24444444444444399</v>
      </c>
      <c r="Q291" s="145">
        <v>9.6296296296296297E-2</v>
      </c>
    </row>
    <row r="292" spans="2:17" ht="15" customHeight="1" x14ac:dyDescent="0.35">
      <c r="B292" s="140">
        <v>289</v>
      </c>
      <c r="C292" s="1" t="s">
        <v>1917</v>
      </c>
      <c r="D292" s="1" t="s">
        <v>1928</v>
      </c>
      <c r="E292" s="1" t="s">
        <v>1912</v>
      </c>
      <c r="F292" s="1" t="s">
        <v>1921</v>
      </c>
      <c r="G292" s="1" t="s">
        <v>1924</v>
      </c>
      <c r="H292" s="1" t="s">
        <v>1897</v>
      </c>
      <c r="I292" s="144">
        <v>0.65625</v>
      </c>
      <c r="J292" s="144">
        <v>0.625</v>
      </c>
      <c r="K292" s="144">
        <v>3.125E-2</v>
      </c>
      <c r="L292" s="144">
        <v>0.58850875613985898</v>
      </c>
      <c r="M292" s="144">
        <v>0.53483477364073195</v>
      </c>
      <c r="N292" s="144">
        <v>5.3673982499126902E-2</v>
      </c>
      <c r="O292" s="144">
        <v>0.39869281045751598</v>
      </c>
      <c r="P292" s="144">
        <v>0.34640522875816998</v>
      </c>
      <c r="Q292" s="145">
        <v>5.2287581699346303E-2</v>
      </c>
    </row>
    <row r="293" spans="2:17" ht="15" customHeight="1" x14ac:dyDescent="0.35">
      <c r="B293" s="140">
        <v>290</v>
      </c>
      <c r="C293" s="1" t="s">
        <v>1917</v>
      </c>
      <c r="D293" s="1" t="s">
        <v>1929</v>
      </c>
      <c r="E293" s="1" t="s">
        <v>1912</v>
      </c>
      <c r="F293" s="1" t="s">
        <v>1921</v>
      </c>
      <c r="G293" s="1" t="s">
        <v>1924</v>
      </c>
      <c r="H293" s="1" t="s">
        <v>1897</v>
      </c>
      <c r="I293" s="144">
        <v>0.68965517241379304</v>
      </c>
      <c r="J293" s="144">
        <v>0.55172413793103403</v>
      </c>
      <c r="K293" s="144">
        <v>0.13793103448275901</v>
      </c>
      <c r="L293" s="144">
        <v>0.59421328815722696</v>
      </c>
      <c r="M293" s="144">
        <v>0.472967589989923</v>
      </c>
      <c r="N293" s="144">
        <v>0.121245698167304</v>
      </c>
      <c r="O293" s="144">
        <v>0.32089552238806002</v>
      </c>
      <c r="P293" s="144">
        <v>0.231343283582089</v>
      </c>
      <c r="Q293" s="145">
        <v>8.9552238805970297E-2</v>
      </c>
    </row>
    <row r="294" spans="2:17" ht="15" customHeight="1" x14ac:dyDescent="0.35">
      <c r="B294" s="140">
        <v>291</v>
      </c>
      <c r="C294" s="1" t="s">
        <v>1918</v>
      </c>
      <c r="D294" s="1" t="s">
        <v>1920</v>
      </c>
      <c r="E294" s="1" t="s">
        <v>1912</v>
      </c>
      <c r="F294" s="1" t="s">
        <v>1921</v>
      </c>
      <c r="G294" s="1" t="s">
        <v>1924</v>
      </c>
      <c r="H294" s="1" t="s">
        <v>1897</v>
      </c>
      <c r="I294" s="144">
        <v>0.61290322580645196</v>
      </c>
      <c r="J294" s="144">
        <v>0.51612903225806495</v>
      </c>
      <c r="K294" s="144">
        <v>9.6774193548387094E-2</v>
      </c>
      <c r="L294" s="144">
        <v>0.41530944762045002</v>
      </c>
      <c r="M294" s="144">
        <v>0.36956002693736301</v>
      </c>
      <c r="N294" s="144">
        <v>4.5749420683087197E-2</v>
      </c>
      <c r="O294" s="144">
        <v>0.185430463576159</v>
      </c>
      <c r="P294" s="144">
        <v>0.15894039735099399</v>
      </c>
      <c r="Q294" s="145">
        <v>2.64900662251655E-2</v>
      </c>
    </row>
    <row r="295" spans="2:17" ht="15" customHeight="1" x14ac:dyDescent="0.35">
      <c r="B295" s="140">
        <v>292</v>
      </c>
      <c r="C295" s="1" t="s">
        <v>1918</v>
      </c>
      <c r="D295" s="1" t="s">
        <v>1925</v>
      </c>
      <c r="E295" s="1" t="s">
        <v>1912</v>
      </c>
      <c r="F295" s="1" t="s">
        <v>1921</v>
      </c>
      <c r="G295" s="1" t="s">
        <v>1924</v>
      </c>
      <c r="H295" s="1" t="s">
        <v>1897</v>
      </c>
      <c r="I295" s="144">
        <v>0.61764705882352899</v>
      </c>
      <c r="J295" s="144">
        <v>0.58823529411764697</v>
      </c>
      <c r="K295" s="144">
        <v>2.9411764705882401E-2</v>
      </c>
      <c r="L295" s="144">
        <v>0.42697820665786701</v>
      </c>
      <c r="M295" s="144">
        <v>0.381388951318471</v>
      </c>
      <c r="N295" s="144">
        <v>4.5589255339396499E-2</v>
      </c>
      <c r="O295" s="144">
        <v>0.25245901639344298</v>
      </c>
      <c r="P295" s="144">
        <v>0.17704918032786901</v>
      </c>
      <c r="Q295" s="145">
        <v>7.5409836065573693E-2</v>
      </c>
    </row>
    <row r="296" spans="2:17" ht="15" customHeight="1" x14ac:dyDescent="0.35">
      <c r="B296" s="140">
        <v>293</v>
      </c>
      <c r="C296" s="1" t="s">
        <v>1918</v>
      </c>
      <c r="D296" s="1" t="s">
        <v>1927</v>
      </c>
      <c r="E296" s="1" t="s">
        <v>1912</v>
      </c>
      <c r="F296" s="1" t="s">
        <v>1921</v>
      </c>
      <c r="G296" s="1" t="s">
        <v>1924</v>
      </c>
      <c r="H296" s="1" t="s">
        <v>1897</v>
      </c>
      <c r="I296" s="144">
        <v>0.55172413793103403</v>
      </c>
      <c r="J296" s="144">
        <v>0.41379310344827602</v>
      </c>
      <c r="K296" s="144">
        <v>0.13793103448275901</v>
      </c>
      <c r="L296" s="144">
        <v>0.39196423782172601</v>
      </c>
      <c r="M296" s="144">
        <v>0.23795052988965801</v>
      </c>
      <c r="N296" s="144">
        <v>0.15401370793206801</v>
      </c>
      <c r="O296" s="144">
        <v>0.32534246575342501</v>
      </c>
      <c r="P296" s="144">
        <v>9.5890410958904201E-2</v>
      </c>
      <c r="Q296" s="145">
        <v>0.22945205479451999</v>
      </c>
    </row>
    <row r="297" spans="2:17" ht="15" customHeight="1" x14ac:dyDescent="0.35">
      <c r="B297" s="140">
        <v>294</v>
      </c>
      <c r="C297" s="1" t="s">
        <v>1918</v>
      </c>
      <c r="D297" s="1" t="s">
        <v>1928</v>
      </c>
      <c r="E297" s="1" t="s">
        <v>1912</v>
      </c>
      <c r="F297" s="1" t="s">
        <v>1921</v>
      </c>
      <c r="G297" s="1" t="s">
        <v>1924</v>
      </c>
      <c r="H297" s="1" t="s">
        <v>1897</v>
      </c>
      <c r="I297" s="144">
        <v>0.67647058823529405</v>
      </c>
      <c r="J297" s="144">
        <v>0.64705882352941202</v>
      </c>
      <c r="K297" s="144">
        <v>2.9411764705882401E-2</v>
      </c>
      <c r="L297" s="144">
        <v>0.56333387628907605</v>
      </c>
      <c r="M297" s="144">
        <v>0.56239515472380097</v>
      </c>
      <c r="N297" s="144">
        <v>9.3872156527529998E-4</v>
      </c>
      <c r="O297" s="144">
        <v>0.28709677419354801</v>
      </c>
      <c r="P297" s="144">
        <v>0.206451612903226</v>
      </c>
      <c r="Q297" s="145">
        <v>8.0645161290322495E-2</v>
      </c>
    </row>
    <row r="298" spans="2:17" ht="15" customHeight="1" x14ac:dyDescent="0.35">
      <c r="B298" s="140">
        <v>295</v>
      </c>
      <c r="C298" s="1" t="s">
        <v>1918</v>
      </c>
      <c r="D298" s="1" t="s">
        <v>1929</v>
      </c>
      <c r="E298" s="1" t="s">
        <v>1912</v>
      </c>
      <c r="F298" s="1" t="s">
        <v>1921</v>
      </c>
      <c r="G298" s="1" t="s">
        <v>1924</v>
      </c>
      <c r="H298" s="1" t="s">
        <v>1897</v>
      </c>
      <c r="I298" s="144">
        <v>0.78787878787878796</v>
      </c>
      <c r="J298" s="144">
        <v>0.60606060606060597</v>
      </c>
      <c r="K298" s="144">
        <v>0.18181818181818199</v>
      </c>
      <c r="L298" s="144">
        <v>0.66700539836479</v>
      </c>
      <c r="M298" s="144">
        <v>0.50103278512814597</v>
      </c>
      <c r="N298" s="144">
        <v>0.165972613236644</v>
      </c>
      <c r="O298" s="144">
        <v>0.400651465798046</v>
      </c>
      <c r="P298" s="144">
        <v>0.18892508143322501</v>
      </c>
      <c r="Q298" s="145">
        <v>0.211726384364821</v>
      </c>
    </row>
    <row r="299" spans="2:17" ht="15" customHeight="1" x14ac:dyDescent="0.35">
      <c r="B299" s="140">
        <v>296</v>
      </c>
      <c r="C299" s="1" t="s">
        <v>1919</v>
      </c>
      <c r="D299" s="1" t="s">
        <v>1920</v>
      </c>
      <c r="E299" s="1" t="s">
        <v>1912</v>
      </c>
      <c r="F299" s="1" t="s">
        <v>1921</v>
      </c>
      <c r="G299" s="1" t="s">
        <v>1924</v>
      </c>
      <c r="H299" s="1" t="s">
        <v>1897</v>
      </c>
      <c r="I299" s="144">
        <v>0.55172413793103403</v>
      </c>
      <c r="J299" s="144">
        <v>0.48275862068965503</v>
      </c>
      <c r="K299" s="144">
        <v>6.8965517241379296E-2</v>
      </c>
      <c r="L299" s="144">
        <v>0.37992658167872501</v>
      </c>
      <c r="M299" s="144">
        <v>0.35812643408746397</v>
      </c>
      <c r="N299" s="144">
        <v>2.18001475912615E-2</v>
      </c>
      <c r="O299" s="144">
        <v>0.214046822742475</v>
      </c>
      <c r="P299" s="144">
        <v>0.19397993311036801</v>
      </c>
      <c r="Q299" s="145">
        <v>2.0066889632107E-2</v>
      </c>
    </row>
    <row r="300" spans="2:17" ht="15" customHeight="1" x14ac:dyDescent="0.35">
      <c r="B300" s="140">
        <v>297</v>
      </c>
      <c r="C300" s="1" t="s">
        <v>1919</v>
      </c>
      <c r="D300" s="1" t="s">
        <v>1925</v>
      </c>
      <c r="E300" s="1" t="s">
        <v>1912</v>
      </c>
      <c r="F300" s="1" t="s">
        <v>1921</v>
      </c>
      <c r="G300" s="1" t="s">
        <v>1924</v>
      </c>
      <c r="H300" s="1" t="s">
        <v>1897</v>
      </c>
      <c r="I300" s="144">
        <v>0.51612903225806495</v>
      </c>
      <c r="J300" s="144">
        <v>0.45161290322580599</v>
      </c>
      <c r="K300" s="144">
        <v>6.4516129032258104E-2</v>
      </c>
      <c r="L300" s="144">
        <v>0.40653404437792001</v>
      </c>
      <c r="M300" s="144">
        <v>0.33581368295515002</v>
      </c>
      <c r="N300" s="144">
        <v>7.0720361422769606E-2</v>
      </c>
      <c r="O300" s="144">
        <v>0.287128712871287</v>
      </c>
      <c r="P300" s="144">
        <v>0.25742574257425699</v>
      </c>
      <c r="Q300" s="145">
        <v>2.9702970297029702E-2</v>
      </c>
    </row>
    <row r="301" spans="2:17" ht="15" customHeight="1" x14ac:dyDescent="0.35">
      <c r="B301" s="140">
        <v>298</v>
      </c>
      <c r="C301" s="1" t="s">
        <v>1919</v>
      </c>
      <c r="D301" s="1" t="s">
        <v>1927</v>
      </c>
      <c r="E301" s="1" t="s">
        <v>1912</v>
      </c>
      <c r="F301" s="1" t="s">
        <v>1921</v>
      </c>
      <c r="G301" s="1" t="s">
        <v>1924</v>
      </c>
      <c r="H301" s="1" t="s">
        <v>1897</v>
      </c>
      <c r="I301" s="144">
        <v>0.67741935483870996</v>
      </c>
      <c r="J301" s="144">
        <v>0.58064516129032295</v>
      </c>
      <c r="K301" s="144">
        <v>9.6774193548387094E-2</v>
      </c>
      <c r="L301" s="144">
        <v>0.54353187843902295</v>
      </c>
      <c r="M301" s="144">
        <v>0.42631962525163902</v>
      </c>
      <c r="N301" s="144">
        <v>0.117212253187384</v>
      </c>
      <c r="O301" s="144">
        <v>0.42192691029900298</v>
      </c>
      <c r="P301" s="144">
        <v>0.245847176079734</v>
      </c>
      <c r="Q301" s="145">
        <v>0.17607973421926901</v>
      </c>
    </row>
    <row r="302" spans="2:17" ht="15" customHeight="1" x14ac:dyDescent="0.35">
      <c r="B302" s="140">
        <v>299</v>
      </c>
      <c r="C302" s="1" t="s">
        <v>1919</v>
      </c>
      <c r="D302" s="1" t="s">
        <v>1928</v>
      </c>
      <c r="E302" s="1" t="s">
        <v>1912</v>
      </c>
      <c r="F302" s="1" t="s">
        <v>1921</v>
      </c>
      <c r="G302" s="1" t="s">
        <v>1924</v>
      </c>
      <c r="H302" s="1" t="s">
        <v>1897</v>
      </c>
      <c r="I302" s="144">
        <v>0.66666666666666696</v>
      </c>
      <c r="J302" s="144">
        <v>0.66666666666666696</v>
      </c>
      <c r="K302" s="144">
        <v>0</v>
      </c>
      <c r="L302" s="144">
        <v>0.55564058954916495</v>
      </c>
      <c r="M302" s="144">
        <v>0.53431305010115304</v>
      </c>
      <c r="N302" s="144">
        <v>2.1327539448011398E-2</v>
      </c>
      <c r="O302" s="144">
        <v>0.30491803278688501</v>
      </c>
      <c r="P302" s="144">
        <v>0.26885245901639299</v>
      </c>
      <c r="Q302" s="145">
        <v>3.6065573770491799E-2</v>
      </c>
    </row>
    <row r="303" spans="2:17" ht="15" customHeight="1" thickBot="1" x14ac:dyDescent="0.4">
      <c r="B303" s="141">
        <v>300</v>
      </c>
      <c r="C303" s="39" t="s">
        <v>1919</v>
      </c>
      <c r="D303" s="39" t="s">
        <v>1929</v>
      </c>
      <c r="E303" s="39" t="s">
        <v>1912</v>
      </c>
      <c r="F303" s="39" t="s">
        <v>1921</v>
      </c>
      <c r="G303" s="39" t="s">
        <v>1924</v>
      </c>
      <c r="H303" s="39" t="s">
        <v>1897</v>
      </c>
      <c r="I303" s="148">
        <v>0.7</v>
      </c>
      <c r="J303" s="148">
        <v>0.53333333333333299</v>
      </c>
      <c r="K303" s="148">
        <v>0.16666666666666699</v>
      </c>
      <c r="L303" s="148">
        <v>0.63354437615287895</v>
      </c>
      <c r="M303" s="148">
        <v>0.48418859720871199</v>
      </c>
      <c r="N303" s="148">
        <v>0.14935577894416699</v>
      </c>
      <c r="O303" s="148">
        <v>0.39393939393939398</v>
      </c>
      <c r="P303" s="148">
        <v>0.22222222222222199</v>
      </c>
      <c r="Q303" s="149">
        <v>0.17171717171717199</v>
      </c>
    </row>
    <row r="304" spans="2:17" x14ac:dyDescent="0.35">
      <c r="B304" s="136"/>
    </row>
    <row r="305" spans="2:17" x14ac:dyDescent="0.35">
      <c r="B305" s="129" t="s">
        <v>1875</v>
      </c>
    </row>
    <row r="306" spans="2:17" ht="14.15" customHeight="1" x14ac:dyDescent="0.35">
      <c r="B306" s="176" t="s">
        <v>1941</v>
      </c>
      <c r="C306" s="176"/>
      <c r="D306" s="176"/>
      <c r="E306" s="176"/>
      <c r="F306" s="176"/>
      <c r="G306" s="176"/>
      <c r="H306" s="176"/>
      <c r="I306" s="176"/>
      <c r="J306" s="176"/>
      <c r="K306" s="176"/>
      <c r="L306" s="176"/>
      <c r="M306" s="176"/>
      <c r="N306" s="176"/>
      <c r="O306" s="176"/>
      <c r="P306" s="176"/>
      <c r="Q306" s="176"/>
    </row>
    <row r="307" spans="2:17" x14ac:dyDescent="0.35">
      <c r="B307" s="176"/>
      <c r="C307" s="176"/>
      <c r="D307" s="176"/>
      <c r="E307" s="176"/>
      <c r="F307" s="176"/>
      <c r="G307" s="176"/>
      <c r="H307" s="176"/>
      <c r="I307" s="176"/>
      <c r="J307" s="176"/>
      <c r="K307" s="176"/>
      <c r="L307" s="176"/>
      <c r="M307" s="176"/>
      <c r="N307" s="176"/>
      <c r="O307" s="176"/>
      <c r="P307" s="176"/>
      <c r="Q307" s="176"/>
    </row>
    <row r="308" spans="2:17" x14ac:dyDescent="0.35">
      <c r="B308" s="176"/>
      <c r="C308" s="176"/>
      <c r="D308" s="176"/>
      <c r="E308" s="176"/>
      <c r="F308" s="176"/>
      <c r="G308" s="176"/>
      <c r="H308" s="176"/>
      <c r="I308" s="176"/>
      <c r="J308" s="176"/>
      <c r="K308" s="176"/>
      <c r="L308" s="176"/>
      <c r="M308" s="176"/>
      <c r="N308" s="176"/>
      <c r="O308" s="176"/>
      <c r="P308" s="176"/>
      <c r="Q308" s="176"/>
    </row>
    <row r="309" spans="2:17" x14ac:dyDescent="0.35">
      <c r="B309" s="176"/>
      <c r="C309" s="176"/>
      <c r="D309" s="176"/>
      <c r="E309" s="176"/>
      <c r="F309" s="176"/>
      <c r="G309" s="176"/>
      <c r="H309" s="176"/>
      <c r="I309" s="176"/>
      <c r="J309" s="176"/>
      <c r="K309" s="176"/>
      <c r="L309" s="176"/>
      <c r="M309" s="176"/>
      <c r="N309" s="176"/>
      <c r="O309" s="176"/>
      <c r="P309" s="176"/>
      <c r="Q309" s="176"/>
    </row>
    <row r="310" spans="2:17" x14ac:dyDescent="0.35">
      <c r="B310" s="176"/>
      <c r="C310" s="176"/>
      <c r="D310" s="176"/>
      <c r="E310" s="176"/>
      <c r="F310" s="176"/>
      <c r="G310" s="176"/>
      <c r="H310" s="176"/>
      <c r="I310" s="176"/>
      <c r="J310" s="176"/>
      <c r="K310" s="176"/>
      <c r="L310" s="176"/>
      <c r="M310" s="176"/>
      <c r="N310" s="176"/>
      <c r="O310" s="176"/>
      <c r="P310" s="176"/>
      <c r="Q310" s="176"/>
    </row>
    <row r="311" spans="2:17" x14ac:dyDescent="0.35">
      <c r="B311" s="176"/>
      <c r="C311" s="176"/>
      <c r="D311" s="176"/>
      <c r="E311" s="176"/>
      <c r="F311" s="176"/>
      <c r="G311" s="176"/>
      <c r="H311" s="176"/>
      <c r="I311" s="176"/>
      <c r="J311" s="176"/>
      <c r="K311" s="176"/>
      <c r="L311" s="176"/>
      <c r="M311" s="176"/>
      <c r="N311" s="176"/>
      <c r="O311" s="176"/>
      <c r="P311" s="176"/>
      <c r="Q311" s="176"/>
    </row>
    <row r="312" spans="2:17" x14ac:dyDescent="0.35">
      <c r="B312" s="176"/>
      <c r="C312" s="176"/>
      <c r="D312" s="176"/>
      <c r="E312" s="176"/>
      <c r="F312" s="176"/>
      <c r="G312" s="176"/>
      <c r="H312" s="176"/>
      <c r="I312" s="176"/>
      <c r="J312" s="176"/>
      <c r="K312" s="176"/>
      <c r="L312" s="176"/>
      <c r="M312" s="176"/>
      <c r="N312" s="176"/>
      <c r="O312" s="176"/>
      <c r="P312" s="176"/>
      <c r="Q312" s="176"/>
    </row>
    <row r="313" spans="2:17" x14ac:dyDescent="0.35">
      <c r="B313" s="176"/>
      <c r="C313" s="176"/>
      <c r="D313" s="176"/>
      <c r="E313" s="176"/>
      <c r="F313" s="176"/>
      <c r="G313" s="176"/>
      <c r="H313" s="176"/>
      <c r="I313" s="176"/>
      <c r="J313" s="176"/>
      <c r="K313" s="176"/>
      <c r="L313" s="176"/>
      <c r="M313" s="176"/>
      <c r="N313" s="176"/>
      <c r="O313" s="176"/>
      <c r="P313" s="176"/>
      <c r="Q313" s="176"/>
    </row>
    <row r="314" spans="2:17" x14ac:dyDescent="0.35">
      <c r="B314" s="176"/>
      <c r="C314" s="176"/>
      <c r="D314" s="176"/>
      <c r="E314" s="176"/>
      <c r="F314" s="176"/>
      <c r="G314" s="176"/>
      <c r="H314" s="176"/>
      <c r="I314" s="176"/>
      <c r="J314" s="176"/>
      <c r="K314" s="176"/>
      <c r="L314" s="176"/>
      <c r="M314" s="176"/>
      <c r="N314" s="176"/>
      <c r="O314" s="176"/>
      <c r="P314" s="176"/>
      <c r="Q314" s="176"/>
    </row>
    <row r="315" spans="2:17" x14ac:dyDescent="0.35">
      <c r="B315" s="176"/>
      <c r="C315" s="176"/>
      <c r="D315" s="176"/>
      <c r="E315" s="176"/>
      <c r="F315" s="176"/>
      <c r="G315" s="176"/>
      <c r="H315" s="176"/>
      <c r="I315" s="176"/>
      <c r="J315" s="176"/>
      <c r="K315" s="176"/>
      <c r="L315" s="176"/>
      <c r="M315" s="176"/>
      <c r="N315" s="176"/>
      <c r="O315" s="176"/>
      <c r="P315" s="176"/>
      <c r="Q315" s="176"/>
    </row>
    <row r="316" spans="2:17" x14ac:dyDescent="0.35">
      <c r="B316" s="176"/>
      <c r="C316" s="176"/>
      <c r="D316" s="176"/>
      <c r="E316" s="176"/>
      <c r="F316" s="176"/>
      <c r="G316" s="176"/>
      <c r="H316" s="176"/>
      <c r="I316" s="176"/>
      <c r="J316" s="176"/>
      <c r="K316" s="176"/>
      <c r="L316" s="176"/>
      <c r="M316" s="176"/>
      <c r="N316" s="176"/>
      <c r="O316" s="176"/>
      <c r="P316" s="176"/>
      <c r="Q316" s="176"/>
    </row>
    <row r="317" spans="2:17" x14ac:dyDescent="0.35">
      <c r="B317" s="176"/>
      <c r="C317" s="176"/>
      <c r="D317" s="176"/>
      <c r="E317" s="176"/>
      <c r="F317" s="176"/>
      <c r="G317" s="176"/>
      <c r="H317" s="176"/>
      <c r="I317" s="176"/>
      <c r="J317" s="176"/>
      <c r="K317" s="176"/>
      <c r="L317" s="176"/>
      <c r="M317" s="176"/>
      <c r="N317" s="176"/>
      <c r="O317" s="176"/>
      <c r="P317" s="176"/>
      <c r="Q317" s="176"/>
    </row>
    <row r="318" spans="2:17" x14ac:dyDescent="0.35">
      <c r="B318" s="176"/>
      <c r="C318" s="176"/>
      <c r="D318" s="176"/>
      <c r="E318" s="176"/>
      <c r="F318" s="176"/>
      <c r="G318" s="176"/>
      <c r="H318" s="176"/>
      <c r="I318" s="176"/>
      <c r="J318" s="176"/>
      <c r="K318" s="176"/>
      <c r="L318" s="176"/>
      <c r="M318" s="176"/>
      <c r="N318" s="176"/>
      <c r="O318" s="176"/>
      <c r="P318" s="176"/>
      <c r="Q318" s="176"/>
    </row>
    <row r="319" spans="2:17" x14ac:dyDescent="0.35">
      <c r="B319" s="176"/>
      <c r="C319" s="176"/>
      <c r="D319" s="176"/>
      <c r="E319" s="176"/>
      <c r="F319" s="176"/>
      <c r="G319" s="176"/>
      <c r="H319" s="176"/>
      <c r="I319" s="176"/>
      <c r="J319" s="176"/>
      <c r="K319" s="176"/>
      <c r="L319" s="176"/>
      <c r="M319" s="176"/>
      <c r="N319" s="176"/>
      <c r="O319" s="176"/>
      <c r="P319" s="176"/>
      <c r="Q319" s="176"/>
    </row>
    <row r="320" spans="2:17" x14ac:dyDescent="0.35">
      <c r="B320" s="176"/>
      <c r="C320" s="176"/>
      <c r="D320" s="176"/>
      <c r="E320" s="176"/>
      <c r="F320" s="176"/>
      <c r="G320" s="176"/>
      <c r="H320" s="176"/>
      <c r="I320" s="176"/>
      <c r="J320" s="176"/>
      <c r="K320" s="176"/>
      <c r="L320" s="176"/>
      <c r="M320" s="176"/>
      <c r="N320" s="176"/>
      <c r="O320" s="176"/>
      <c r="P320" s="176"/>
      <c r="Q320" s="176"/>
    </row>
    <row r="321" spans="2:17" x14ac:dyDescent="0.35">
      <c r="B321" s="176"/>
      <c r="C321" s="176"/>
      <c r="D321" s="176"/>
      <c r="E321" s="176"/>
      <c r="F321" s="176"/>
      <c r="G321" s="176"/>
      <c r="H321" s="176"/>
      <c r="I321" s="176"/>
      <c r="J321" s="176"/>
      <c r="K321" s="176"/>
      <c r="L321" s="176"/>
      <c r="M321" s="176"/>
      <c r="N321" s="176"/>
      <c r="O321" s="176"/>
      <c r="P321" s="176"/>
      <c r="Q321" s="176"/>
    </row>
    <row r="322" spans="2:17" x14ac:dyDescent="0.35">
      <c r="B322" s="176"/>
      <c r="C322" s="176"/>
      <c r="D322" s="176"/>
      <c r="E322" s="176"/>
      <c r="F322" s="176"/>
      <c r="G322" s="176"/>
      <c r="H322" s="176"/>
      <c r="I322" s="176"/>
      <c r="J322" s="176"/>
      <c r="K322" s="176"/>
      <c r="L322" s="176"/>
      <c r="M322" s="176"/>
      <c r="N322" s="176"/>
      <c r="O322" s="176"/>
      <c r="P322" s="176"/>
      <c r="Q322" s="176"/>
    </row>
    <row r="323" spans="2:17" x14ac:dyDescent="0.35">
      <c r="B323" s="176"/>
      <c r="C323" s="176"/>
      <c r="D323" s="176"/>
      <c r="E323" s="176"/>
      <c r="F323" s="176"/>
      <c r="G323" s="176"/>
      <c r="H323" s="176"/>
      <c r="I323" s="176"/>
      <c r="J323" s="176"/>
      <c r="K323" s="176"/>
      <c r="L323" s="176"/>
      <c r="M323" s="176"/>
      <c r="N323" s="176"/>
      <c r="O323" s="176"/>
      <c r="P323" s="176"/>
      <c r="Q323" s="176"/>
    </row>
    <row r="324" spans="2:17" x14ac:dyDescent="0.35">
      <c r="B324" s="176"/>
      <c r="C324" s="176"/>
      <c r="D324" s="176"/>
      <c r="E324" s="176"/>
      <c r="F324" s="176"/>
      <c r="G324" s="176"/>
      <c r="H324" s="176"/>
      <c r="I324" s="176"/>
      <c r="J324" s="176"/>
      <c r="K324" s="176"/>
      <c r="L324" s="176"/>
      <c r="M324" s="176"/>
      <c r="N324" s="176"/>
      <c r="O324" s="176"/>
      <c r="P324" s="176"/>
      <c r="Q324" s="176"/>
    </row>
    <row r="325" spans="2:17" x14ac:dyDescent="0.35">
      <c r="B325" s="176"/>
      <c r="C325" s="176"/>
      <c r="D325" s="176"/>
      <c r="E325" s="176"/>
      <c r="F325" s="176"/>
      <c r="G325" s="176"/>
      <c r="H325" s="176"/>
      <c r="I325" s="176"/>
      <c r="J325" s="176"/>
      <c r="K325" s="176"/>
      <c r="L325" s="176"/>
      <c r="M325" s="176"/>
      <c r="N325" s="176"/>
      <c r="O325" s="176"/>
      <c r="P325" s="176"/>
      <c r="Q325" s="176"/>
    </row>
    <row r="326" spans="2:17" x14ac:dyDescent="0.35">
      <c r="B326" s="154"/>
      <c r="C326" s="154"/>
      <c r="D326" s="154"/>
      <c r="E326" s="154"/>
      <c r="F326" s="154"/>
      <c r="G326" s="154"/>
      <c r="H326" s="154"/>
      <c r="I326" s="154"/>
      <c r="J326" s="154"/>
      <c r="K326" s="154"/>
      <c r="L326" s="154"/>
      <c r="M326" s="154"/>
      <c r="N326" s="154"/>
      <c r="O326" s="154"/>
      <c r="P326" s="154"/>
      <c r="Q326" s="154"/>
    </row>
  </sheetData>
  <sortState xmlns:xlrd2="http://schemas.microsoft.com/office/spreadsheetml/2017/richdata2" ref="B4:Q304">
    <sortCondition ref="B4:B304"/>
  </sortState>
  <mergeCells count="2">
    <mergeCell ref="B2:Q2"/>
    <mergeCell ref="B306:Q325"/>
  </mergeCells>
  <phoneticPr fontId="1" type="noConversion"/>
  <pageMargins left="0.7" right="0.7" top="0.75" bottom="0.75" header="0.3" footer="0.3"/>
  <pageSetup paperSize="9" orientation="landscape"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B5D71-CA22-448F-8D13-E9FF0AAFDC2A}">
  <dimension ref="B2:J285"/>
  <sheetViews>
    <sheetView zoomScale="85" zoomScaleNormal="85" workbookViewId="0">
      <pane xSplit="1" ySplit="3" topLeftCell="B10" activePane="bottomRight" state="frozen"/>
      <selection pane="topRight" activeCell="B1" sqref="B1"/>
      <selection pane="bottomLeft" activeCell="A4" sqref="A4"/>
      <selection pane="bottomRight" activeCell="N11" sqref="N11"/>
    </sheetView>
  </sheetViews>
  <sheetFormatPr defaultRowHeight="15" customHeight="1" x14ac:dyDescent="0.35"/>
  <cols>
    <col min="1" max="1" width="4.640625" style="144" customWidth="1"/>
    <col min="2" max="2" width="13.85546875" style="144" customWidth="1"/>
    <col min="3" max="3" width="25.92578125" style="144" customWidth="1"/>
    <col min="4" max="5" width="9.140625" style="144"/>
    <col min="6" max="6" width="15.28515625" style="144" customWidth="1"/>
    <col min="7" max="7" width="5.35546875" style="144" customWidth="1"/>
    <col min="8" max="16384" width="9.140625" style="144"/>
  </cols>
  <sheetData>
    <row r="2" spans="2:10" ht="20.05" customHeight="1" thickBot="1" x14ac:dyDescent="0.4">
      <c r="B2" s="178" t="s">
        <v>2004</v>
      </c>
      <c r="C2" s="178"/>
      <c r="D2" s="178"/>
      <c r="E2" s="178"/>
      <c r="F2" s="178"/>
      <c r="G2" s="178"/>
      <c r="H2" s="178"/>
      <c r="I2" s="178"/>
      <c r="J2" s="178"/>
    </row>
    <row r="3" spans="2:10" s="155" customFormat="1" ht="20.05" customHeight="1" thickBot="1" x14ac:dyDescent="0.4">
      <c r="B3" s="160" t="s">
        <v>1954</v>
      </c>
      <c r="C3" s="161" t="s">
        <v>1945</v>
      </c>
      <c r="D3" s="162" t="s">
        <v>1956</v>
      </c>
      <c r="E3" s="162" t="s">
        <v>1957</v>
      </c>
      <c r="F3" s="162" t="s">
        <v>1944</v>
      </c>
      <c r="G3" s="177" t="s">
        <v>1955</v>
      </c>
      <c r="H3" s="177"/>
      <c r="I3" s="162" t="s">
        <v>1982</v>
      </c>
      <c r="J3" s="163" t="s">
        <v>1983</v>
      </c>
    </row>
    <row r="4" spans="2:10" ht="15" customHeight="1" x14ac:dyDescent="0.35">
      <c r="B4" s="156" t="s">
        <v>1946</v>
      </c>
      <c r="C4" s="144" t="s">
        <v>1947</v>
      </c>
      <c r="D4" s="144" t="s">
        <v>1958</v>
      </c>
      <c r="E4" s="144" t="s">
        <v>1959</v>
      </c>
      <c r="F4" s="144" t="s">
        <v>1948</v>
      </c>
      <c r="G4" s="144" t="s">
        <v>1972</v>
      </c>
      <c r="H4" s="144">
        <v>0.46604391360223801</v>
      </c>
      <c r="I4" s="144">
        <v>8.8000000000000005E-3</v>
      </c>
      <c r="J4" s="145">
        <v>9.5999999999999992E-3</v>
      </c>
    </row>
    <row r="5" spans="2:10" ht="15" customHeight="1" x14ac:dyDescent="0.35">
      <c r="B5" s="156" t="s">
        <v>1946</v>
      </c>
      <c r="C5" s="144" t="s">
        <v>1947</v>
      </c>
      <c r="D5" s="144" t="s">
        <v>1958</v>
      </c>
      <c r="E5" s="144" t="s">
        <v>1962</v>
      </c>
      <c r="F5" s="144" t="s">
        <v>1948</v>
      </c>
      <c r="G5" s="144" t="s">
        <v>1972</v>
      </c>
      <c r="H5" s="144">
        <v>0.54452882450152196</v>
      </c>
      <c r="I5" s="144">
        <v>7.7000000000000002E-3</v>
      </c>
      <c r="J5" s="145">
        <v>9.5999999999999992E-3</v>
      </c>
    </row>
    <row r="6" spans="2:10" ht="15" customHeight="1" x14ac:dyDescent="0.35">
      <c r="B6" s="156" t="s">
        <v>1946</v>
      </c>
      <c r="C6" s="144" t="s">
        <v>1947</v>
      </c>
      <c r="D6" s="144" t="s">
        <v>1958</v>
      </c>
      <c r="E6" s="144" t="s">
        <v>1960</v>
      </c>
      <c r="F6" s="144" t="s">
        <v>1948</v>
      </c>
      <c r="G6" s="144" t="s">
        <v>1972</v>
      </c>
      <c r="H6" s="144">
        <v>0.53118345283358304</v>
      </c>
      <c r="I6" s="144">
        <v>8.3999999999999995E-3</v>
      </c>
      <c r="J6" s="145">
        <v>9.5999999999999992E-3</v>
      </c>
    </row>
    <row r="7" spans="2:10" ht="15" customHeight="1" x14ac:dyDescent="0.35">
      <c r="B7" s="156" t="s">
        <v>1946</v>
      </c>
      <c r="C7" s="144" t="s">
        <v>1947</v>
      </c>
      <c r="D7" s="144" t="s">
        <v>1958</v>
      </c>
      <c r="E7" s="144" t="s">
        <v>1961</v>
      </c>
      <c r="F7" s="144" t="s">
        <v>1948</v>
      </c>
      <c r="G7" s="144" t="s">
        <v>1972</v>
      </c>
      <c r="H7" s="144">
        <v>0.49421014272983399</v>
      </c>
      <c r="I7" s="144">
        <v>7.7000000000000002E-3</v>
      </c>
      <c r="J7" s="145">
        <v>9.5999999999999992E-3</v>
      </c>
    </row>
    <row r="8" spans="2:10" ht="15" customHeight="1" x14ac:dyDescent="0.35">
      <c r="B8" s="156" t="s">
        <v>1946</v>
      </c>
      <c r="C8" s="144" t="s">
        <v>1947</v>
      </c>
      <c r="D8" s="144" t="s">
        <v>1959</v>
      </c>
      <c r="E8" s="144" t="s">
        <v>1962</v>
      </c>
      <c r="F8" s="144" t="s">
        <v>1948</v>
      </c>
      <c r="G8" s="144" t="s">
        <v>1972</v>
      </c>
      <c r="H8" s="144">
        <v>0.25549230045003701</v>
      </c>
      <c r="I8" s="144">
        <v>7.9000000000000008E-3</v>
      </c>
      <c r="J8" s="145">
        <v>9.5999999999999992E-3</v>
      </c>
    </row>
    <row r="9" spans="2:10" ht="15" customHeight="1" x14ac:dyDescent="0.35">
      <c r="B9" s="156" t="s">
        <v>1946</v>
      </c>
      <c r="C9" s="144" t="s">
        <v>1947</v>
      </c>
      <c r="D9" s="144" t="s">
        <v>1959</v>
      </c>
      <c r="E9" s="144" t="s">
        <v>1960</v>
      </c>
      <c r="F9" s="144" t="s">
        <v>1948</v>
      </c>
      <c r="G9" s="144" t="s">
        <v>1972</v>
      </c>
      <c r="H9" s="144">
        <v>0.31245323179432299</v>
      </c>
      <c r="I9" s="144">
        <v>8.8999999999999999E-3</v>
      </c>
      <c r="J9" s="145">
        <v>9.5999999999999992E-3</v>
      </c>
    </row>
    <row r="10" spans="2:10" ht="15" customHeight="1" x14ac:dyDescent="0.35">
      <c r="B10" s="156" t="s">
        <v>1946</v>
      </c>
      <c r="C10" s="144" t="s">
        <v>1947</v>
      </c>
      <c r="D10" s="144" t="s">
        <v>1959</v>
      </c>
      <c r="E10" s="144" t="s">
        <v>1961</v>
      </c>
      <c r="F10" s="144" t="s">
        <v>1948</v>
      </c>
      <c r="G10" s="144" t="s">
        <v>1972</v>
      </c>
      <c r="H10" s="144">
        <v>0.30409904471878002</v>
      </c>
      <c r="I10" s="144">
        <v>1.0200000000000001E-2</v>
      </c>
      <c r="J10" s="145">
        <v>9.5999999999999992E-3</v>
      </c>
    </row>
    <row r="11" spans="2:10" ht="15" customHeight="1" x14ac:dyDescent="0.35">
      <c r="B11" s="156" t="s">
        <v>1946</v>
      </c>
      <c r="C11" s="144" t="s">
        <v>1947</v>
      </c>
      <c r="D11" s="144" t="s">
        <v>1962</v>
      </c>
      <c r="E11" s="144" t="s">
        <v>1960</v>
      </c>
      <c r="F11" s="144" t="s">
        <v>1948</v>
      </c>
      <c r="G11" s="144" t="s">
        <v>1972</v>
      </c>
      <c r="H11" s="144">
        <v>0.41025515271295399</v>
      </c>
      <c r="I11" s="144">
        <v>8.8000000000000005E-3</v>
      </c>
      <c r="J11" s="145">
        <v>9.5999999999999992E-3</v>
      </c>
    </row>
    <row r="12" spans="2:10" ht="15" customHeight="1" x14ac:dyDescent="0.35">
      <c r="B12" s="156" t="s">
        <v>1946</v>
      </c>
      <c r="C12" s="144" t="s">
        <v>1947</v>
      </c>
      <c r="D12" s="144" t="s">
        <v>1962</v>
      </c>
      <c r="E12" s="144" t="s">
        <v>1961</v>
      </c>
      <c r="F12" s="144" t="s">
        <v>1948</v>
      </c>
      <c r="G12" s="144" t="s">
        <v>1972</v>
      </c>
      <c r="H12" s="144">
        <v>0.370721928690321</v>
      </c>
      <c r="I12" s="144">
        <v>6.3E-3</v>
      </c>
      <c r="J12" s="145">
        <v>9.5999999999999992E-3</v>
      </c>
    </row>
    <row r="13" spans="2:10" ht="15" customHeight="1" x14ac:dyDescent="0.35">
      <c r="B13" s="156" t="s">
        <v>1946</v>
      </c>
      <c r="C13" s="144" t="s">
        <v>1947</v>
      </c>
      <c r="D13" s="144" t="s">
        <v>1960</v>
      </c>
      <c r="E13" s="144" t="s">
        <v>1961</v>
      </c>
      <c r="F13" s="144" t="s">
        <v>1948</v>
      </c>
      <c r="G13" s="144" t="s">
        <v>1972</v>
      </c>
      <c r="H13" s="144">
        <v>0.27978760945756698</v>
      </c>
      <c r="I13" s="144">
        <v>7.6E-3</v>
      </c>
      <c r="J13" s="145">
        <v>9.5999999999999992E-3</v>
      </c>
    </row>
    <row r="14" spans="2:10" ht="15" customHeight="1" x14ac:dyDescent="0.35">
      <c r="B14" s="156" t="s">
        <v>1946</v>
      </c>
      <c r="C14" s="144" t="s">
        <v>1947</v>
      </c>
      <c r="D14" s="146" t="s">
        <v>1958</v>
      </c>
      <c r="E14" s="146" t="s">
        <v>1959</v>
      </c>
      <c r="F14" s="146" t="s">
        <v>1949</v>
      </c>
      <c r="G14" s="146" t="s">
        <v>1950</v>
      </c>
      <c r="H14" s="146">
        <v>0.95</v>
      </c>
      <c r="I14" s="146">
        <v>7.6E-3</v>
      </c>
      <c r="J14" s="147">
        <v>9.1000000000000004E-3</v>
      </c>
    </row>
    <row r="15" spans="2:10" ht="15" customHeight="1" x14ac:dyDescent="0.35">
      <c r="B15" s="156" t="s">
        <v>1946</v>
      </c>
      <c r="C15" s="144" t="s">
        <v>1947</v>
      </c>
      <c r="D15" s="146" t="s">
        <v>1958</v>
      </c>
      <c r="E15" s="146" t="s">
        <v>1962</v>
      </c>
      <c r="F15" s="146" t="s">
        <v>1949</v>
      </c>
      <c r="G15" s="146" t="s">
        <v>1950</v>
      </c>
      <c r="H15" s="146">
        <v>0.98599999999999999</v>
      </c>
      <c r="I15" s="146">
        <v>8.3000000000000001E-3</v>
      </c>
      <c r="J15" s="147">
        <v>9.1000000000000004E-3</v>
      </c>
    </row>
    <row r="16" spans="2:10" ht="15" customHeight="1" x14ac:dyDescent="0.35">
      <c r="B16" s="156" t="s">
        <v>1946</v>
      </c>
      <c r="C16" s="144" t="s">
        <v>1947</v>
      </c>
      <c r="D16" s="146" t="s">
        <v>1958</v>
      </c>
      <c r="E16" s="146" t="s">
        <v>1960</v>
      </c>
      <c r="F16" s="146" t="s">
        <v>1949</v>
      </c>
      <c r="G16" s="146" t="s">
        <v>1950</v>
      </c>
      <c r="H16" s="146">
        <v>0.99199999999999999</v>
      </c>
      <c r="I16" s="146">
        <v>7.7999999999999996E-3</v>
      </c>
      <c r="J16" s="147">
        <v>9.1000000000000004E-3</v>
      </c>
    </row>
    <row r="17" spans="2:10" ht="15" customHeight="1" x14ac:dyDescent="0.35">
      <c r="B17" s="156" t="s">
        <v>1946</v>
      </c>
      <c r="C17" s="144" t="s">
        <v>1947</v>
      </c>
      <c r="D17" s="146" t="s">
        <v>1958</v>
      </c>
      <c r="E17" s="146" t="s">
        <v>1961</v>
      </c>
      <c r="F17" s="146" t="s">
        <v>1949</v>
      </c>
      <c r="G17" s="146" t="s">
        <v>1950</v>
      </c>
      <c r="H17" s="146">
        <v>0.996</v>
      </c>
      <c r="I17" s="146">
        <v>7.3000000000000001E-3</v>
      </c>
      <c r="J17" s="147">
        <v>9.1000000000000004E-3</v>
      </c>
    </row>
    <row r="18" spans="2:10" ht="15" customHeight="1" x14ac:dyDescent="0.35">
      <c r="B18" s="156" t="s">
        <v>1946</v>
      </c>
      <c r="C18" s="144" t="s">
        <v>1947</v>
      </c>
      <c r="D18" s="146" t="s">
        <v>1959</v>
      </c>
      <c r="E18" s="146" t="s">
        <v>1962</v>
      </c>
      <c r="F18" s="146" t="s">
        <v>1949</v>
      </c>
      <c r="G18" s="146" t="s">
        <v>1950</v>
      </c>
      <c r="H18" s="146">
        <v>0.51600000000000001</v>
      </c>
      <c r="I18" s="146">
        <v>7.7000000000000002E-3</v>
      </c>
      <c r="J18" s="147">
        <v>9.1000000000000004E-3</v>
      </c>
    </row>
    <row r="19" spans="2:10" ht="15" customHeight="1" x14ac:dyDescent="0.35">
      <c r="B19" s="156" t="s">
        <v>1946</v>
      </c>
      <c r="C19" s="144" t="s">
        <v>1947</v>
      </c>
      <c r="D19" s="146" t="s">
        <v>1959</v>
      </c>
      <c r="E19" s="146" t="s">
        <v>1960</v>
      </c>
      <c r="F19" s="146" t="s">
        <v>1949</v>
      </c>
      <c r="G19" s="146" t="s">
        <v>1950</v>
      </c>
      <c r="H19" s="146">
        <v>0.746</v>
      </c>
      <c r="I19" s="146">
        <v>8.0000000000000002E-3</v>
      </c>
      <c r="J19" s="147">
        <v>9.1000000000000004E-3</v>
      </c>
    </row>
    <row r="20" spans="2:10" ht="15" customHeight="1" x14ac:dyDescent="0.35">
      <c r="B20" s="156" t="s">
        <v>1946</v>
      </c>
      <c r="C20" s="144" t="s">
        <v>1947</v>
      </c>
      <c r="D20" s="146" t="s">
        <v>1959</v>
      </c>
      <c r="E20" s="146" t="s">
        <v>1961</v>
      </c>
      <c r="F20" s="146" t="s">
        <v>1949</v>
      </c>
      <c r="G20" s="146" t="s">
        <v>1950</v>
      </c>
      <c r="H20" s="146">
        <v>0.68200000000000005</v>
      </c>
      <c r="I20" s="146">
        <v>8.8000000000000005E-3</v>
      </c>
      <c r="J20" s="147">
        <v>9.1000000000000004E-3</v>
      </c>
    </row>
    <row r="21" spans="2:10" ht="15" customHeight="1" x14ac:dyDescent="0.35">
      <c r="B21" s="156" t="s">
        <v>1946</v>
      </c>
      <c r="C21" s="144" t="s">
        <v>1947</v>
      </c>
      <c r="D21" s="146" t="s">
        <v>1962</v>
      </c>
      <c r="E21" s="146" t="s">
        <v>1960</v>
      </c>
      <c r="F21" s="146" t="s">
        <v>1949</v>
      </c>
      <c r="G21" s="146" t="s">
        <v>1950</v>
      </c>
      <c r="H21" s="146">
        <v>0.92600000000000005</v>
      </c>
      <c r="I21" s="146">
        <v>8.6E-3</v>
      </c>
      <c r="J21" s="147">
        <v>9.1000000000000004E-3</v>
      </c>
    </row>
    <row r="22" spans="2:10" ht="15" customHeight="1" x14ac:dyDescent="0.35">
      <c r="B22" s="156" t="s">
        <v>1946</v>
      </c>
      <c r="C22" s="144" t="s">
        <v>1947</v>
      </c>
      <c r="D22" s="146" t="s">
        <v>1962</v>
      </c>
      <c r="E22" s="146" t="s">
        <v>1961</v>
      </c>
      <c r="F22" s="146" t="s">
        <v>1949</v>
      </c>
      <c r="G22" s="146" t="s">
        <v>1950</v>
      </c>
      <c r="H22" s="146">
        <v>0.79</v>
      </c>
      <c r="I22" s="146">
        <v>6.7000000000000002E-3</v>
      </c>
      <c r="J22" s="147">
        <v>9.1000000000000004E-3</v>
      </c>
    </row>
    <row r="23" spans="2:10" ht="15" customHeight="1" x14ac:dyDescent="0.35">
      <c r="B23" s="156" t="s">
        <v>1946</v>
      </c>
      <c r="C23" s="144" t="s">
        <v>1947</v>
      </c>
      <c r="D23" s="146" t="s">
        <v>1960</v>
      </c>
      <c r="E23" s="146" t="s">
        <v>1961</v>
      </c>
      <c r="F23" s="146" t="s">
        <v>1949</v>
      </c>
      <c r="G23" s="146" t="s">
        <v>1950</v>
      </c>
      <c r="H23" s="146">
        <v>0.65400000000000003</v>
      </c>
      <c r="I23" s="146">
        <v>8.3000000000000001E-3</v>
      </c>
      <c r="J23" s="147">
        <v>9.1000000000000004E-3</v>
      </c>
    </row>
    <row r="24" spans="2:10" ht="15" customHeight="1" x14ac:dyDescent="0.35">
      <c r="B24" s="156" t="s">
        <v>1946</v>
      </c>
      <c r="C24" s="144" t="s">
        <v>1947</v>
      </c>
      <c r="D24" s="144" t="s">
        <v>1958</v>
      </c>
      <c r="E24" s="144" t="s">
        <v>1959</v>
      </c>
      <c r="F24" s="144" t="s">
        <v>1951</v>
      </c>
      <c r="G24" s="144" t="s">
        <v>1514</v>
      </c>
      <c r="H24" s="144">
        <v>0.224157934680142</v>
      </c>
      <c r="I24" s="144">
        <v>8.6999999999999994E-3</v>
      </c>
      <c r="J24" s="145">
        <v>1.0375000000000001E-2</v>
      </c>
    </row>
    <row r="25" spans="2:10" ht="15" customHeight="1" x14ac:dyDescent="0.35">
      <c r="B25" s="156" t="s">
        <v>1946</v>
      </c>
      <c r="C25" s="144" t="s">
        <v>1947</v>
      </c>
      <c r="D25" s="144" t="s">
        <v>1958</v>
      </c>
      <c r="E25" s="144" t="s">
        <v>1962</v>
      </c>
      <c r="F25" s="144" t="s">
        <v>1951</v>
      </c>
      <c r="G25" s="144" t="s">
        <v>1514</v>
      </c>
      <c r="H25" s="144">
        <v>0.27946221720654502</v>
      </c>
      <c r="I25" s="144">
        <v>7.0000000000000001E-3</v>
      </c>
      <c r="J25" s="145">
        <v>1.0375000000000001E-2</v>
      </c>
    </row>
    <row r="26" spans="2:10" ht="15" customHeight="1" x14ac:dyDescent="0.35">
      <c r="B26" s="156" t="s">
        <v>1946</v>
      </c>
      <c r="C26" s="144" t="s">
        <v>1947</v>
      </c>
      <c r="D26" s="144" t="s">
        <v>1958</v>
      </c>
      <c r="E26" s="144" t="s">
        <v>1960</v>
      </c>
      <c r="F26" s="144" t="s">
        <v>1951</v>
      </c>
      <c r="G26" s="144" t="s">
        <v>1514</v>
      </c>
      <c r="H26" s="144">
        <v>0.26543011239477499</v>
      </c>
      <c r="I26" s="144">
        <v>8.3000000000000001E-3</v>
      </c>
      <c r="J26" s="145">
        <v>1.04444444444444E-2</v>
      </c>
    </row>
    <row r="27" spans="2:10" ht="15" customHeight="1" x14ac:dyDescent="0.35">
      <c r="B27" s="156" t="s">
        <v>1946</v>
      </c>
      <c r="C27" s="144" t="s">
        <v>1947</v>
      </c>
      <c r="D27" s="144" t="s">
        <v>1958</v>
      </c>
      <c r="E27" s="144" t="s">
        <v>1961</v>
      </c>
      <c r="F27" s="144" t="s">
        <v>1951</v>
      </c>
      <c r="G27" s="144" t="s">
        <v>1514</v>
      </c>
      <c r="H27" s="144">
        <v>0.23987880123272701</v>
      </c>
      <c r="I27" s="144">
        <v>7.1999999999999998E-3</v>
      </c>
      <c r="J27" s="145">
        <v>1.0375000000000001E-2</v>
      </c>
    </row>
    <row r="28" spans="2:10" ht="15" customHeight="1" x14ac:dyDescent="0.35">
      <c r="B28" s="156" t="s">
        <v>1946</v>
      </c>
      <c r="C28" s="144" t="s">
        <v>1947</v>
      </c>
      <c r="D28" s="144" t="s">
        <v>1959</v>
      </c>
      <c r="E28" s="144" t="s">
        <v>1962</v>
      </c>
      <c r="F28" s="144" t="s">
        <v>1951</v>
      </c>
      <c r="G28" s="144" t="s">
        <v>1514</v>
      </c>
      <c r="H28" s="144">
        <v>9.0894887879520506E-2</v>
      </c>
      <c r="I28" s="144">
        <v>1.72E-2</v>
      </c>
      <c r="J28" s="145">
        <v>1.61E-2</v>
      </c>
    </row>
    <row r="29" spans="2:10" ht="15" customHeight="1" x14ac:dyDescent="0.35">
      <c r="B29" s="156" t="s">
        <v>1946</v>
      </c>
      <c r="C29" s="144" t="s">
        <v>1947</v>
      </c>
      <c r="D29" s="144" t="s">
        <v>1959</v>
      </c>
      <c r="E29" s="144" t="s">
        <v>1960</v>
      </c>
      <c r="F29" s="144" t="s">
        <v>1951</v>
      </c>
      <c r="G29" s="144" t="s">
        <v>1514</v>
      </c>
      <c r="H29" s="144">
        <v>0.120780564542717</v>
      </c>
      <c r="I29" s="144">
        <v>7.9000000000000008E-3</v>
      </c>
      <c r="J29" s="145">
        <v>1.0375000000000001E-2</v>
      </c>
    </row>
    <row r="30" spans="2:10" ht="15" customHeight="1" x14ac:dyDescent="0.35">
      <c r="B30" s="156" t="s">
        <v>1946</v>
      </c>
      <c r="C30" s="144" t="s">
        <v>1947</v>
      </c>
      <c r="D30" s="144" t="s">
        <v>1959</v>
      </c>
      <c r="E30" s="144" t="s">
        <v>1961</v>
      </c>
      <c r="F30" s="144" t="s">
        <v>1951</v>
      </c>
      <c r="G30" s="144" t="s">
        <v>1514</v>
      </c>
      <c r="H30" s="144">
        <v>0.117803856880281</v>
      </c>
      <c r="I30" s="144">
        <v>6.7000000000000002E-3</v>
      </c>
      <c r="J30" s="145">
        <v>1.0375000000000001E-2</v>
      </c>
    </row>
    <row r="31" spans="2:10" ht="15" customHeight="1" x14ac:dyDescent="0.35">
      <c r="B31" s="156" t="s">
        <v>1946</v>
      </c>
      <c r="C31" s="144" t="s">
        <v>1947</v>
      </c>
      <c r="D31" s="144" t="s">
        <v>1962</v>
      </c>
      <c r="E31" s="144" t="s">
        <v>1960</v>
      </c>
      <c r="F31" s="144" t="s">
        <v>1951</v>
      </c>
      <c r="G31" s="144" t="s">
        <v>1514</v>
      </c>
      <c r="H31" s="144">
        <v>0.180990988823199</v>
      </c>
      <c r="I31" s="144">
        <v>8.8999999999999999E-3</v>
      </c>
      <c r="J31" s="145">
        <v>1.0375000000000001E-2</v>
      </c>
    </row>
    <row r="32" spans="2:10" ht="15" customHeight="1" x14ac:dyDescent="0.35">
      <c r="B32" s="156" t="s">
        <v>1946</v>
      </c>
      <c r="C32" s="144" t="s">
        <v>1947</v>
      </c>
      <c r="D32" s="144" t="s">
        <v>1962</v>
      </c>
      <c r="E32" s="144" t="s">
        <v>1961</v>
      </c>
      <c r="F32" s="144" t="s">
        <v>1951</v>
      </c>
      <c r="G32" s="144" t="s">
        <v>1514</v>
      </c>
      <c r="H32" s="144">
        <v>0.15960170556872699</v>
      </c>
      <c r="I32" s="144">
        <v>9.7999999999999997E-3</v>
      </c>
      <c r="J32" s="145">
        <v>1.0375000000000001E-2</v>
      </c>
    </row>
    <row r="33" spans="2:10" ht="15" customHeight="1" x14ac:dyDescent="0.35">
      <c r="B33" s="156" t="s">
        <v>1946</v>
      </c>
      <c r="C33" s="144" t="s">
        <v>1947</v>
      </c>
      <c r="D33" s="144" t="s">
        <v>1960</v>
      </c>
      <c r="E33" s="144" t="s">
        <v>1961</v>
      </c>
      <c r="F33" s="144" t="s">
        <v>1951</v>
      </c>
      <c r="G33" s="144" t="s">
        <v>1514</v>
      </c>
      <c r="H33" s="144">
        <v>0.100815755391479</v>
      </c>
      <c r="I33" s="144">
        <v>8.3000000000000001E-3</v>
      </c>
      <c r="J33" s="145">
        <v>1.0375000000000001E-2</v>
      </c>
    </row>
    <row r="34" spans="2:10" ht="15" customHeight="1" x14ac:dyDescent="0.35">
      <c r="B34" s="156" t="s">
        <v>1946</v>
      </c>
      <c r="C34" s="144" t="s">
        <v>1942</v>
      </c>
      <c r="D34" s="146" t="s">
        <v>1958</v>
      </c>
      <c r="E34" s="146" t="s">
        <v>1959</v>
      </c>
      <c r="F34" s="146" t="s">
        <v>1948</v>
      </c>
      <c r="G34" s="146" t="s">
        <v>1972</v>
      </c>
      <c r="H34" s="146">
        <v>-0.14523152223333499</v>
      </c>
      <c r="I34" s="146">
        <v>1</v>
      </c>
      <c r="J34" s="147">
        <v>1</v>
      </c>
    </row>
    <row r="35" spans="2:10" ht="15" customHeight="1" x14ac:dyDescent="0.35">
      <c r="B35" s="156" t="s">
        <v>1946</v>
      </c>
      <c r="C35" s="144" t="s">
        <v>1942</v>
      </c>
      <c r="D35" s="146" t="s">
        <v>1958</v>
      </c>
      <c r="E35" s="146" t="s">
        <v>1962</v>
      </c>
      <c r="F35" s="146" t="s">
        <v>1948</v>
      </c>
      <c r="G35" s="146" t="s">
        <v>1972</v>
      </c>
      <c r="H35" s="146">
        <v>0.42607292370793298</v>
      </c>
      <c r="I35" s="146">
        <v>8.0999999999999996E-3</v>
      </c>
      <c r="J35" s="147">
        <v>0.03</v>
      </c>
    </row>
    <row r="36" spans="2:10" ht="15" customHeight="1" x14ac:dyDescent="0.35">
      <c r="B36" s="156" t="s">
        <v>1946</v>
      </c>
      <c r="C36" s="144" t="s">
        <v>1942</v>
      </c>
      <c r="D36" s="146" t="s">
        <v>1958</v>
      </c>
      <c r="E36" s="146" t="s">
        <v>1960</v>
      </c>
      <c r="F36" s="146" t="s">
        <v>1948</v>
      </c>
      <c r="G36" s="146" t="s">
        <v>1972</v>
      </c>
      <c r="H36" s="146">
        <v>-9.8344243716835505E-2</v>
      </c>
      <c r="I36" s="146">
        <v>0.99239999999999995</v>
      </c>
      <c r="J36" s="147">
        <v>1</v>
      </c>
    </row>
    <row r="37" spans="2:10" ht="15" customHeight="1" x14ac:dyDescent="0.35">
      <c r="B37" s="156" t="s">
        <v>1946</v>
      </c>
      <c r="C37" s="144" t="s">
        <v>1942</v>
      </c>
      <c r="D37" s="146" t="s">
        <v>1958</v>
      </c>
      <c r="E37" s="146" t="s">
        <v>1961</v>
      </c>
      <c r="F37" s="146" t="s">
        <v>1948</v>
      </c>
      <c r="G37" s="146" t="s">
        <v>1972</v>
      </c>
      <c r="H37" s="146">
        <v>7.3105697652486798E-2</v>
      </c>
      <c r="I37" s="146">
        <v>0.7571</v>
      </c>
      <c r="J37" s="147">
        <v>0.94225000000000003</v>
      </c>
    </row>
    <row r="38" spans="2:10" ht="15" customHeight="1" x14ac:dyDescent="0.35">
      <c r="B38" s="156" t="s">
        <v>1946</v>
      </c>
      <c r="C38" s="144" t="s">
        <v>1942</v>
      </c>
      <c r="D38" s="146" t="s">
        <v>1959</v>
      </c>
      <c r="E38" s="146" t="s">
        <v>1962</v>
      </c>
      <c r="F38" s="146" t="s">
        <v>1948</v>
      </c>
      <c r="G38" s="146" t="s">
        <v>1972</v>
      </c>
      <c r="H38" s="146">
        <v>0.12438507130781599</v>
      </c>
      <c r="I38" s="146">
        <v>0.42230000000000001</v>
      </c>
      <c r="J38" s="147">
        <v>0.64057142857142901</v>
      </c>
    </row>
    <row r="39" spans="2:10" ht="15" customHeight="1" x14ac:dyDescent="0.35">
      <c r="B39" s="156" t="s">
        <v>1946</v>
      </c>
      <c r="C39" s="144" t="s">
        <v>1942</v>
      </c>
      <c r="D39" s="146" t="s">
        <v>1959</v>
      </c>
      <c r="E39" s="146" t="s">
        <v>1960</v>
      </c>
      <c r="F39" s="146" t="s">
        <v>1948</v>
      </c>
      <c r="G39" s="146" t="s">
        <v>1972</v>
      </c>
      <c r="H39" s="146">
        <v>0.241396185787775</v>
      </c>
      <c r="I39" s="146">
        <v>2.2800000000000001E-2</v>
      </c>
      <c r="J39" s="147">
        <v>4.6399999999999997E-2</v>
      </c>
    </row>
    <row r="40" spans="2:10" ht="15" customHeight="1" x14ac:dyDescent="0.35">
      <c r="B40" s="156" t="s">
        <v>1946</v>
      </c>
      <c r="C40" s="144" t="s">
        <v>1942</v>
      </c>
      <c r="D40" s="146" t="s">
        <v>1959</v>
      </c>
      <c r="E40" s="146" t="s">
        <v>1961</v>
      </c>
      <c r="F40" s="146" t="s">
        <v>1948</v>
      </c>
      <c r="G40" s="146" t="s">
        <v>1972</v>
      </c>
      <c r="H40" s="146">
        <v>0.34717830244950298</v>
      </c>
      <c r="I40" s="146">
        <v>7.4000000000000003E-3</v>
      </c>
      <c r="J40" s="147">
        <v>0.03</v>
      </c>
    </row>
    <row r="41" spans="2:10" ht="15" customHeight="1" x14ac:dyDescent="0.35">
      <c r="B41" s="156" t="s">
        <v>1946</v>
      </c>
      <c r="C41" s="144" t="s">
        <v>1942</v>
      </c>
      <c r="D41" s="146" t="s">
        <v>1962</v>
      </c>
      <c r="E41" s="146" t="s">
        <v>1960</v>
      </c>
      <c r="F41" s="146" t="s">
        <v>1948</v>
      </c>
      <c r="G41" s="146" t="s">
        <v>1972</v>
      </c>
      <c r="H41" s="146">
        <v>0.122575624174595</v>
      </c>
      <c r="I41" s="146">
        <v>0.45229999999999998</v>
      </c>
      <c r="J41" s="147">
        <v>0.64057142857142901</v>
      </c>
    </row>
    <row r="42" spans="2:10" ht="15" customHeight="1" x14ac:dyDescent="0.35">
      <c r="B42" s="156" t="s">
        <v>1946</v>
      </c>
      <c r="C42" s="144" t="s">
        <v>1942</v>
      </c>
      <c r="D42" s="146" t="s">
        <v>1962</v>
      </c>
      <c r="E42" s="146" t="s">
        <v>1961</v>
      </c>
      <c r="F42" s="146" t="s">
        <v>1948</v>
      </c>
      <c r="G42" s="146" t="s">
        <v>1972</v>
      </c>
      <c r="H42" s="146">
        <v>0.29317077449092099</v>
      </c>
      <c r="I42" s="146">
        <v>1.66E-2</v>
      </c>
      <c r="J42" s="147">
        <v>4.2000000000000003E-2</v>
      </c>
    </row>
    <row r="43" spans="2:10" ht="15" customHeight="1" x14ac:dyDescent="0.35">
      <c r="B43" s="156" t="s">
        <v>1946</v>
      </c>
      <c r="C43" s="144" t="s">
        <v>1942</v>
      </c>
      <c r="D43" s="146" t="s">
        <v>1960</v>
      </c>
      <c r="E43" s="146" t="s">
        <v>1961</v>
      </c>
      <c r="F43" s="146" t="s">
        <v>1948</v>
      </c>
      <c r="G43" s="146" t="s">
        <v>1972</v>
      </c>
      <c r="H43" s="146">
        <v>0.31292451168527702</v>
      </c>
      <c r="I43" s="146">
        <v>8.3000000000000001E-3</v>
      </c>
      <c r="J43" s="147">
        <v>0.03</v>
      </c>
    </row>
    <row r="44" spans="2:10" ht="15" customHeight="1" x14ac:dyDescent="0.35">
      <c r="B44" s="156" t="s">
        <v>1946</v>
      </c>
      <c r="C44" s="144" t="s">
        <v>1942</v>
      </c>
      <c r="D44" s="144" t="s">
        <v>1958</v>
      </c>
      <c r="E44" s="144" t="s">
        <v>1959</v>
      </c>
      <c r="F44" s="144" t="s">
        <v>1949</v>
      </c>
      <c r="G44" s="144" t="s">
        <v>1950</v>
      </c>
      <c r="H44" s="144">
        <v>-0.52800000000000002</v>
      </c>
      <c r="I44" s="144">
        <v>1</v>
      </c>
      <c r="J44" s="145">
        <v>1</v>
      </c>
    </row>
    <row r="45" spans="2:10" ht="15" customHeight="1" x14ac:dyDescent="0.35">
      <c r="B45" s="156" t="s">
        <v>1946</v>
      </c>
      <c r="C45" s="144" t="s">
        <v>1942</v>
      </c>
      <c r="D45" s="144" t="s">
        <v>1958</v>
      </c>
      <c r="E45" s="144" t="s">
        <v>1962</v>
      </c>
      <c r="F45" s="144" t="s">
        <v>1949</v>
      </c>
      <c r="G45" s="144" t="s">
        <v>1950</v>
      </c>
      <c r="H45" s="144">
        <v>0.68</v>
      </c>
      <c r="I45" s="144">
        <v>7.7000000000000002E-3</v>
      </c>
      <c r="J45" s="145">
        <v>2.8000000000000001E-2</v>
      </c>
    </row>
    <row r="46" spans="2:10" ht="15" customHeight="1" x14ac:dyDescent="0.35">
      <c r="B46" s="156" t="s">
        <v>1946</v>
      </c>
      <c r="C46" s="144" t="s">
        <v>1942</v>
      </c>
      <c r="D46" s="144" t="s">
        <v>1958</v>
      </c>
      <c r="E46" s="144" t="s">
        <v>1960</v>
      </c>
      <c r="F46" s="144" t="s">
        <v>1949</v>
      </c>
      <c r="G46" s="144" t="s">
        <v>1950</v>
      </c>
      <c r="H46" s="144">
        <v>-0.51200000000000001</v>
      </c>
      <c r="I46" s="144">
        <v>1</v>
      </c>
      <c r="J46" s="145">
        <v>1</v>
      </c>
    </row>
    <row r="47" spans="2:10" ht="15" customHeight="1" x14ac:dyDescent="0.35">
      <c r="B47" s="156" t="s">
        <v>1946</v>
      </c>
      <c r="C47" s="144" t="s">
        <v>1942</v>
      </c>
      <c r="D47" s="144" t="s">
        <v>1958</v>
      </c>
      <c r="E47" s="144" t="s">
        <v>1961</v>
      </c>
      <c r="F47" s="144" t="s">
        <v>1949</v>
      </c>
      <c r="G47" s="144" t="s">
        <v>1950</v>
      </c>
      <c r="H47" s="144">
        <v>-7.8000000000000097E-2</v>
      </c>
      <c r="I47" s="144">
        <v>0.74919999999999998</v>
      </c>
      <c r="J47" s="145">
        <v>0.92937499999999995</v>
      </c>
    </row>
    <row r="48" spans="2:10" ht="15" customHeight="1" x14ac:dyDescent="0.35">
      <c r="B48" s="156" t="s">
        <v>1946</v>
      </c>
      <c r="C48" s="144" t="s">
        <v>1942</v>
      </c>
      <c r="D48" s="144" t="s">
        <v>1959</v>
      </c>
      <c r="E48" s="144" t="s">
        <v>1962</v>
      </c>
      <c r="F48" s="144" t="s">
        <v>1949</v>
      </c>
      <c r="G48" s="144" t="s">
        <v>1950</v>
      </c>
      <c r="H48" s="144">
        <v>-3.7999999999999999E-2</v>
      </c>
      <c r="I48" s="144">
        <v>0.62929999999999997</v>
      </c>
      <c r="J48" s="145">
        <v>0.88400000000000001</v>
      </c>
    </row>
    <row r="49" spans="2:10" ht="15" customHeight="1" x14ac:dyDescent="0.35">
      <c r="B49" s="156" t="s">
        <v>1946</v>
      </c>
      <c r="C49" s="144" t="s">
        <v>1942</v>
      </c>
      <c r="D49" s="144" t="s">
        <v>1959</v>
      </c>
      <c r="E49" s="144" t="s">
        <v>1960</v>
      </c>
      <c r="F49" s="144" t="s">
        <v>1949</v>
      </c>
      <c r="G49" s="144" t="s">
        <v>1950</v>
      </c>
      <c r="H49" s="144">
        <v>0.40200000000000002</v>
      </c>
      <c r="I49" s="144">
        <v>2.5399999999999999E-2</v>
      </c>
      <c r="J49" s="145">
        <v>4.4400000000000002E-2</v>
      </c>
    </row>
    <row r="50" spans="2:10" ht="15" customHeight="1" x14ac:dyDescent="0.35">
      <c r="B50" s="156" t="s">
        <v>1946</v>
      </c>
      <c r="C50" s="144" t="s">
        <v>1942</v>
      </c>
      <c r="D50" s="144" t="s">
        <v>1959</v>
      </c>
      <c r="E50" s="144" t="s">
        <v>1961</v>
      </c>
      <c r="F50" s="144" t="s">
        <v>1949</v>
      </c>
      <c r="G50" s="144" t="s">
        <v>1950</v>
      </c>
      <c r="H50" s="144">
        <v>0.54</v>
      </c>
      <c r="I50" s="144">
        <v>8.2000000000000007E-3</v>
      </c>
      <c r="J50" s="145">
        <v>2.8000000000000001E-2</v>
      </c>
    </row>
    <row r="51" spans="2:10" ht="15" customHeight="1" x14ac:dyDescent="0.35">
      <c r="B51" s="156" t="s">
        <v>1946</v>
      </c>
      <c r="C51" s="144" t="s">
        <v>1942</v>
      </c>
      <c r="D51" s="144" t="s">
        <v>1962</v>
      </c>
      <c r="E51" s="144" t="s">
        <v>1960</v>
      </c>
      <c r="F51" s="144" t="s">
        <v>1949</v>
      </c>
      <c r="G51" s="144" t="s">
        <v>1950</v>
      </c>
      <c r="H51" s="144">
        <v>0.03</v>
      </c>
      <c r="I51" s="144">
        <v>0.4592</v>
      </c>
      <c r="J51" s="145">
        <v>0.76200000000000001</v>
      </c>
    </row>
    <row r="52" spans="2:10" ht="15" customHeight="1" x14ac:dyDescent="0.35">
      <c r="B52" s="156" t="s">
        <v>1946</v>
      </c>
      <c r="C52" s="144" t="s">
        <v>1942</v>
      </c>
      <c r="D52" s="144" t="s">
        <v>1962</v>
      </c>
      <c r="E52" s="144" t="s">
        <v>1961</v>
      </c>
      <c r="F52" s="144" t="s">
        <v>1949</v>
      </c>
      <c r="G52" s="144" t="s">
        <v>1950</v>
      </c>
      <c r="H52" s="144">
        <v>0.30399999999999999</v>
      </c>
      <c r="I52" s="144">
        <v>1.7000000000000001E-2</v>
      </c>
      <c r="J52" s="145">
        <v>3.925E-2</v>
      </c>
    </row>
    <row r="53" spans="2:10" ht="15" customHeight="1" x14ac:dyDescent="0.35">
      <c r="B53" s="156" t="s">
        <v>1946</v>
      </c>
      <c r="C53" s="144" t="s">
        <v>1942</v>
      </c>
      <c r="D53" s="144" t="s">
        <v>1960</v>
      </c>
      <c r="E53" s="144" t="s">
        <v>1961</v>
      </c>
      <c r="F53" s="144" t="s">
        <v>1949</v>
      </c>
      <c r="G53" s="144" t="s">
        <v>1950</v>
      </c>
      <c r="H53" s="144">
        <v>0.63</v>
      </c>
      <c r="I53" s="144">
        <v>8.3000000000000001E-3</v>
      </c>
      <c r="J53" s="145">
        <v>2.8000000000000001E-2</v>
      </c>
    </row>
    <row r="54" spans="2:10" ht="15" customHeight="1" x14ac:dyDescent="0.35">
      <c r="B54" s="156" t="s">
        <v>1946</v>
      </c>
      <c r="C54" s="144" t="s">
        <v>1942</v>
      </c>
      <c r="D54" s="146" t="s">
        <v>1958</v>
      </c>
      <c r="E54" s="146" t="s">
        <v>1959</v>
      </c>
      <c r="F54" s="146" t="s">
        <v>1951</v>
      </c>
      <c r="G54" s="146" t="s">
        <v>1514</v>
      </c>
      <c r="H54" s="146">
        <v>-0.14432617206700901</v>
      </c>
      <c r="I54" s="146">
        <v>0.99219999999999997</v>
      </c>
      <c r="J54" s="147">
        <v>0.99239999999999995</v>
      </c>
    </row>
    <row r="55" spans="2:10" ht="15" customHeight="1" x14ac:dyDescent="0.35">
      <c r="B55" s="156" t="s">
        <v>1946</v>
      </c>
      <c r="C55" s="144" t="s">
        <v>1942</v>
      </c>
      <c r="D55" s="146" t="s">
        <v>1958</v>
      </c>
      <c r="E55" s="146" t="s">
        <v>1962</v>
      </c>
      <c r="F55" s="146" t="s">
        <v>1951</v>
      </c>
      <c r="G55" s="146" t="s">
        <v>1514</v>
      </c>
      <c r="H55" s="146">
        <v>0.224782786614388</v>
      </c>
      <c r="I55" s="146">
        <v>6.7999999999999996E-3</v>
      </c>
      <c r="J55" s="147">
        <v>3.2666666666666698E-2</v>
      </c>
    </row>
    <row r="56" spans="2:10" ht="15" customHeight="1" x14ac:dyDescent="0.35">
      <c r="B56" s="156" t="s">
        <v>1946</v>
      </c>
      <c r="C56" s="144" t="s">
        <v>1942</v>
      </c>
      <c r="D56" s="146" t="s">
        <v>1958</v>
      </c>
      <c r="E56" s="146" t="s">
        <v>1960</v>
      </c>
      <c r="F56" s="146" t="s">
        <v>1951</v>
      </c>
      <c r="G56" s="146" t="s">
        <v>1514</v>
      </c>
      <c r="H56" s="146">
        <v>-0.10900254122865501</v>
      </c>
      <c r="I56" s="146">
        <v>0.99229999999999996</v>
      </c>
      <c r="J56" s="147">
        <v>0.99239999999999995</v>
      </c>
    </row>
    <row r="57" spans="2:10" ht="15" customHeight="1" x14ac:dyDescent="0.35">
      <c r="B57" s="156" t="s">
        <v>1946</v>
      </c>
      <c r="C57" s="144" t="s">
        <v>1942</v>
      </c>
      <c r="D57" s="146" t="s">
        <v>1958</v>
      </c>
      <c r="E57" s="146" t="s">
        <v>1961</v>
      </c>
      <c r="F57" s="146" t="s">
        <v>1951</v>
      </c>
      <c r="G57" s="146" t="s">
        <v>1514</v>
      </c>
      <c r="H57" s="146">
        <v>-1.91221400252151E-2</v>
      </c>
      <c r="I57" s="146">
        <v>0.62670000000000003</v>
      </c>
      <c r="J57" s="147">
        <v>0.77537500000000004</v>
      </c>
    </row>
    <row r="58" spans="2:10" ht="15" customHeight="1" x14ac:dyDescent="0.35">
      <c r="B58" s="156" t="s">
        <v>1946</v>
      </c>
      <c r="C58" s="144" t="s">
        <v>1942</v>
      </c>
      <c r="D58" s="146" t="s">
        <v>1959</v>
      </c>
      <c r="E58" s="146" t="s">
        <v>1962</v>
      </c>
      <c r="F58" s="146" t="s">
        <v>1951</v>
      </c>
      <c r="G58" s="146" t="s">
        <v>1514</v>
      </c>
      <c r="H58" s="146">
        <v>1.0368680227129799E-2</v>
      </c>
      <c r="I58" s="146">
        <v>0.36990000000000001</v>
      </c>
      <c r="J58" s="147">
        <v>0.53971428571428604</v>
      </c>
    </row>
    <row r="59" spans="2:10" ht="15" customHeight="1" x14ac:dyDescent="0.35">
      <c r="B59" s="156" t="s">
        <v>1946</v>
      </c>
      <c r="C59" s="144" t="s">
        <v>1942</v>
      </c>
      <c r="D59" s="146" t="s">
        <v>1959</v>
      </c>
      <c r="E59" s="146" t="s">
        <v>1960</v>
      </c>
      <c r="F59" s="146" t="s">
        <v>1951</v>
      </c>
      <c r="G59" s="146" t="s">
        <v>1514</v>
      </c>
      <c r="H59" s="146">
        <v>7.7436495979192693E-2</v>
      </c>
      <c r="I59" s="146">
        <v>2.46E-2</v>
      </c>
      <c r="J59" s="147">
        <v>4.5400000000000003E-2</v>
      </c>
    </row>
    <row r="60" spans="2:10" ht="15" customHeight="1" x14ac:dyDescent="0.35">
      <c r="B60" s="156" t="s">
        <v>1946</v>
      </c>
      <c r="C60" s="144" t="s">
        <v>1942</v>
      </c>
      <c r="D60" s="146" t="s">
        <v>1959</v>
      </c>
      <c r="E60" s="146" t="s">
        <v>1961</v>
      </c>
      <c r="F60" s="146" t="s">
        <v>1951</v>
      </c>
      <c r="G60" s="146" t="s">
        <v>1514</v>
      </c>
      <c r="H60" s="146">
        <v>0.140511153127301</v>
      </c>
      <c r="I60" s="146">
        <v>7.4000000000000003E-3</v>
      </c>
      <c r="J60" s="147">
        <v>3.2666666666666698E-2</v>
      </c>
    </row>
    <row r="61" spans="2:10" ht="15" customHeight="1" x14ac:dyDescent="0.35">
      <c r="B61" s="156" t="s">
        <v>1946</v>
      </c>
      <c r="C61" s="144" t="s">
        <v>1942</v>
      </c>
      <c r="D61" s="146" t="s">
        <v>1962</v>
      </c>
      <c r="E61" s="146" t="s">
        <v>1960</v>
      </c>
      <c r="F61" s="146" t="s">
        <v>1951</v>
      </c>
      <c r="G61" s="146" t="s">
        <v>1514</v>
      </c>
      <c r="H61" s="146">
        <v>2.45031561044061E-2</v>
      </c>
      <c r="I61" s="146">
        <v>0.26169999999999999</v>
      </c>
      <c r="J61" s="147">
        <v>0.44550000000000001</v>
      </c>
    </row>
    <row r="62" spans="2:10" ht="15" customHeight="1" x14ac:dyDescent="0.35">
      <c r="B62" s="156" t="s">
        <v>1946</v>
      </c>
      <c r="C62" s="144" t="s">
        <v>1942</v>
      </c>
      <c r="D62" s="146" t="s">
        <v>1962</v>
      </c>
      <c r="E62" s="146" t="s">
        <v>1961</v>
      </c>
      <c r="F62" s="146" t="s">
        <v>1951</v>
      </c>
      <c r="G62" s="146" t="s">
        <v>1514</v>
      </c>
      <c r="H62" s="146">
        <v>0.118509890928069</v>
      </c>
      <c r="I62" s="146">
        <v>1.47E-2</v>
      </c>
      <c r="J62" s="147">
        <v>4.0750000000000001E-2</v>
      </c>
    </row>
    <row r="63" spans="2:10" ht="15" customHeight="1" x14ac:dyDescent="0.35">
      <c r="B63" s="156" t="s">
        <v>1946</v>
      </c>
      <c r="C63" s="144" t="s">
        <v>1942</v>
      </c>
      <c r="D63" s="146" t="s">
        <v>1960</v>
      </c>
      <c r="E63" s="146" t="s">
        <v>1961</v>
      </c>
      <c r="F63" s="146" t="s">
        <v>1951</v>
      </c>
      <c r="G63" s="146" t="s">
        <v>1514</v>
      </c>
      <c r="H63" s="146">
        <v>0.12378762280809499</v>
      </c>
      <c r="I63" s="146">
        <v>9.1000000000000004E-3</v>
      </c>
      <c r="J63" s="147">
        <v>3.2666666666666698E-2</v>
      </c>
    </row>
    <row r="64" spans="2:10" ht="15" customHeight="1" x14ac:dyDescent="0.35">
      <c r="B64" s="156" t="s">
        <v>1946</v>
      </c>
      <c r="C64" s="144" t="s">
        <v>1943</v>
      </c>
      <c r="D64" s="144" t="s">
        <v>1958</v>
      </c>
      <c r="E64" s="144" t="s">
        <v>1959</v>
      </c>
      <c r="F64" s="144" t="s">
        <v>1948</v>
      </c>
      <c r="G64" s="144" t="s">
        <v>1972</v>
      </c>
      <c r="H64" s="144">
        <v>0.88392157661512205</v>
      </c>
      <c r="I64" s="144">
        <v>8.3999999999999995E-3</v>
      </c>
      <c r="J64" s="145">
        <v>1.4833333333333301E-2</v>
      </c>
    </row>
    <row r="65" spans="2:10" ht="15" customHeight="1" x14ac:dyDescent="0.35">
      <c r="B65" s="156" t="s">
        <v>1946</v>
      </c>
      <c r="C65" s="144" t="s">
        <v>1943</v>
      </c>
      <c r="D65" s="144" t="s">
        <v>1958</v>
      </c>
      <c r="E65" s="144" t="s">
        <v>1962</v>
      </c>
      <c r="F65" s="144" t="s">
        <v>1948</v>
      </c>
      <c r="G65" s="144" t="s">
        <v>1972</v>
      </c>
      <c r="H65" s="144">
        <v>0.62856797452337898</v>
      </c>
      <c r="I65" s="144">
        <v>0.01</v>
      </c>
      <c r="J65" s="145">
        <v>1.4833333333333301E-2</v>
      </c>
    </row>
    <row r="66" spans="2:10" ht="15" customHeight="1" x14ac:dyDescent="0.35">
      <c r="B66" s="156" t="s">
        <v>1946</v>
      </c>
      <c r="C66" s="144" t="s">
        <v>1943</v>
      </c>
      <c r="D66" s="144" t="s">
        <v>1958</v>
      </c>
      <c r="E66" s="144" t="s">
        <v>1960</v>
      </c>
      <c r="F66" s="144" t="s">
        <v>1948</v>
      </c>
      <c r="G66" s="144" t="s">
        <v>1972</v>
      </c>
      <c r="H66" s="144">
        <v>0.905401972754038</v>
      </c>
      <c r="I66" s="144">
        <v>7.6E-3</v>
      </c>
      <c r="J66" s="145">
        <v>1.4833333333333301E-2</v>
      </c>
    </row>
    <row r="67" spans="2:10" ht="15" customHeight="1" x14ac:dyDescent="0.35">
      <c r="B67" s="156" t="s">
        <v>1946</v>
      </c>
      <c r="C67" s="144" t="s">
        <v>1943</v>
      </c>
      <c r="D67" s="144" t="s">
        <v>1958</v>
      </c>
      <c r="E67" s="144" t="s">
        <v>1961</v>
      </c>
      <c r="F67" s="144" t="s">
        <v>1948</v>
      </c>
      <c r="G67" s="144" t="s">
        <v>1972</v>
      </c>
      <c r="H67" s="144">
        <v>0.84364191082221895</v>
      </c>
      <c r="I67" s="144">
        <v>7.1000000000000004E-3</v>
      </c>
      <c r="J67" s="145">
        <v>1.4833333333333301E-2</v>
      </c>
    </row>
    <row r="68" spans="2:10" ht="15" customHeight="1" x14ac:dyDescent="0.35">
      <c r="B68" s="156" t="s">
        <v>1946</v>
      </c>
      <c r="C68" s="144" t="s">
        <v>1943</v>
      </c>
      <c r="D68" s="144" t="s">
        <v>1959</v>
      </c>
      <c r="E68" s="144" t="s">
        <v>1962</v>
      </c>
      <c r="F68" s="144" t="s">
        <v>1948</v>
      </c>
      <c r="G68" s="144" t="s">
        <v>1972</v>
      </c>
      <c r="H68" s="144">
        <v>0.51895173295571795</v>
      </c>
      <c r="I68" s="144">
        <v>9.4000000000000004E-3</v>
      </c>
      <c r="J68" s="145">
        <v>1.4833333333333301E-2</v>
      </c>
    </row>
    <row r="69" spans="2:10" ht="15" customHeight="1" x14ac:dyDescent="0.35">
      <c r="B69" s="156" t="s">
        <v>1946</v>
      </c>
      <c r="C69" s="144" t="s">
        <v>1943</v>
      </c>
      <c r="D69" s="144" t="s">
        <v>1959</v>
      </c>
      <c r="E69" s="144" t="s">
        <v>1960</v>
      </c>
      <c r="F69" s="144" t="s">
        <v>1948</v>
      </c>
      <c r="G69" s="144" t="s">
        <v>1972</v>
      </c>
      <c r="H69" s="144">
        <v>0.62918885310352601</v>
      </c>
      <c r="I69" s="144">
        <v>1.6500000000000001E-2</v>
      </c>
      <c r="J69" s="145">
        <v>2.0125000000000001E-2</v>
      </c>
    </row>
    <row r="70" spans="2:10" ht="15" customHeight="1" x14ac:dyDescent="0.35">
      <c r="B70" s="156" t="s">
        <v>1946</v>
      </c>
      <c r="C70" s="144" t="s">
        <v>1943</v>
      </c>
      <c r="D70" s="144" t="s">
        <v>1959</v>
      </c>
      <c r="E70" s="144" t="s">
        <v>1961</v>
      </c>
      <c r="F70" s="144" t="s">
        <v>1948</v>
      </c>
      <c r="G70" s="144" t="s">
        <v>1972</v>
      </c>
      <c r="H70" s="144">
        <v>0.13235776222769899</v>
      </c>
      <c r="I70" s="144">
        <v>0.31280000000000002</v>
      </c>
      <c r="J70" s="145">
        <v>0.34077777777777801</v>
      </c>
    </row>
    <row r="71" spans="2:10" ht="15" customHeight="1" x14ac:dyDescent="0.35">
      <c r="B71" s="156" t="s">
        <v>1946</v>
      </c>
      <c r="C71" s="144" t="s">
        <v>1943</v>
      </c>
      <c r="D71" s="144" t="s">
        <v>1962</v>
      </c>
      <c r="E71" s="144" t="s">
        <v>1960</v>
      </c>
      <c r="F71" s="144" t="s">
        <v>1948</v>
      </c>
      <c r="G71" s="144" t="s">
        <v>1972</v>
      </c>
      <c r="H71" s="144">
        <v>0.7140070496998</v>
      </c>
      <c r="I71" s="144">
        <v>9.4000000000000004E-3</v>
      </c>
      <c r="J71" s="145">
        <v>1.4833333333333301E-2</v>
      </c>
    </row>
    <row r="72" spans="2:10" ht="15" customHeight="1" x14ac:dyDescent="0.35">
      <c r="B72" s="156" t="s">
        <v>1946</v>
      </c>
      <c r="C72" s="144" t="s">
        <v>1943</v>
      </c>
      <c r="D72" s="144" t="s">
        <v>1962</v>
      </c>
      <c r="E72" s="144" t="s">
        <v>1961</v>
      </c>
      <c r="F72" s="144" t="s">
        <v>1948</v>
      </c>
      <c r="G72" s="144" t="s">
        <v>1972</v>
      </c>
      <c r="H72" s="144">
        <v>0.51603627383466899</v>
      </c>
      <c r="I72" s="144">
        <v>1.7600000000000001E-2</v>
      </c>
      <c r="J72" s="145">
        <v>2.0125000000000001E-2</v>
      </c>
    </row>
    <row r="73" spans="2:10" ht="15" customHeight="1" x14ac:dyDescent="0.35">
      <c r="B73" s="156" t="s">
        <v>1946</v>
      </c>
      <c r="C73" s="144" t="s">
        <v>1943</v>
      </c>
      <c r="D73" s="144" t="s">
        <v>1960</v>
      </c>
      <c r="E73" s="144" t="s">
        <v>1961</v>
      </c>
      <c r="F73" s="144" t="s">
        <v>1948</v>
      </c>
      <c r="G73" s="144" t="s">
        <v>1972</v>
      </c>
      <c r="H73" s="144">
        <v>5.3064544167905001E-2</v>
      </c>
      <c r="I73" s="144">
        <v>0.60629999999999995</v>
      </c>
      <c r="J73" s="145">
        <v>0.60240000000000005</v>
      </c>
    </row>
    <row r="74" spans="2:10" ht="15" customHeight="1" x14ac:dyDescent="0.35">
      <c r="B74" s="156" t="s">
        <v>1946</v>
      </c>
      <c r="C74" s="144" t="s">
        <v>1943</v>
      </c>
      <c r="D74" s="146" t="s">
        <v>1958</v>
      </c>
      <c r="E74" s="146" t="s">
        <v>1959</v>
      </c>
      <c r="F74" s="146" t="s">
        <v>1949</v>
      </c>
      <c r="G74" s="146" t="s">
        <v>1950</v>
      </c>
      <c r="H74" s="146">
        <v>0.996</v>
      </c>
      <c r="I74" s="146">
        <v>7.9000000000000008E-3</v>
      </c>
      <c r="J74" s="147">
        <v>1.7399999999999999E-2</v>
      </c>
    </row>
    <row r="75" spans="2:10" ht="15" customHeight="1" x14ac:dyDescent="0.35">
      <c r="B75" s="156" t="s">
        <v>1946</v>
      </c>
      <c r="C75" s="144" t="s">
        <v>1943</v>
      </c>
      <c r="D75" s="146" t="s">
        <v>1958</v>
      </c>
      <c r="E75" s="146" t="s">
        <v>1962</v>
      </c>
      <c r="F75" s="146" t="s">
        <v>1949</v>
      </c>
      <c r="G75" s="146" t="s">
        <v>1950</v>
      </c>
      <c r="H75" s="146">
        <v>0.73599999999999999</v>
      </c>
      <c r="I75" s="146">
        <v>6.8999999999999999E-3</v>
      </c>
      <c r="J75" s="147">
        <v>1.7399999999999999E-2</v>
      </c>
    </row>
    <row r="76" spans="2:10" ht="15" customHeight="1" x14ac:dyDescent="0.35">
      <c r="B76" s="156" t="s">
        <v>1946</v>
      </c>
      <c r="C76" s="144" t="s">
        <v>1943</v>
      </c>
      <c r="D76" s="146" t="s">
        <v>1958</v>
      </c>
      <c r="E76" s="146" t="s">
        <v>1960</v>
      </c>
      <c r="F76" s="146" t="s">
        <v>1949</v>
      </c>
      <c r="G76" s="146" t="s">
        <v>1950</v>
      </c>
      <c r="H76" s="146">
        <v>1</v>
      </c>
      <c r="I76" s="146">
        <v>8.2000000000000007E-3</v>
      </c>
      <c r="J76" s="147">
        <v>1.7399999999999999E-2</v>
      </c>
    </row>
    <row r="77" spans="2:10" ht="15" customHeight="1" x14ac:dyDescent="0.35">
      <c r="B77" s="156" t="s">
        <v>1946</v>
      </c>
      <c r="C77" s="144" t="s">
        <v>1943</v>
      </c>
      <c r="D77" s="146" t="s">
        <v>1958</v>
      </c>
      <c r="E77" s="146" t="s">
        <v>1961</v>
      </c>
      <c r="F77" s="146" t="s">
        <v>1949</v>
      </c>
      <c r="G77" s="146" t="s">
        <v>1950</v>
      </c>
      <c r="H77" s="146">
        <v>0.996</v>
      </c>
      <c r="I77" s="146">
        <v>8.0999999999999996E-3</v>
      </c>
      <c r="J77" s="147">
        <v>1.7399999999999999E-2</v>
      </c>
    </row>
    <row r="78" spans="2:10" ht="15" customHeight="1" x14ac:dyDescent="0.35">
      <c r="B78" s="156" t="s">
        <v>1946</v>
      </c>
      <c r="C78" s="144" t="s">
        <v>1943</v>
      </c>
      <c r="D78" s="146" t="s">
        <v>1959</v>
      </c>
      <c r="E78" s="146" t="s">
        <v>1962</v>
      </c>
      <c r="F78" s="146" t="s">
        <v>1949</v>
      </c>
      <c r="G78" s="146" t="s">
        <v>1950</v>
      </c>
      <c r="H78" s="146">
        <v>0.44800000000000001</v>
      </c>
      <c r="I78" s="146">
        <v>1.5800000000000002E-2</v>
      </c>
      <c r="J78" s="147">
        <v>2.3E-2</v>
      </c>
    </row>
    <row r="79" spans="2:10" ht="15" customHeight="1" x14ac:dyDescent="0.35">
      <c r="B79" s="156" t="s">
        <v>1946</v>
      </c>
      <c r="C79" s="144" t="s">
        <v>1943</v>
      </c>
      <c r="D79" s="146" t="s">
        <v>1959</v>
      </c>
      <c r="E79" s="146" t="s">
        <v>1960</v>
      </c>
      <c r="F79" s="146" t="s">
        <v>1949</v>
      </c>
      <c r="G79" s="146" t="s">
        <v>1950</v>
      </c>
      <c r="H79" s="146">
        <v>0.56599999999999995</v>
      </c>
      <c r="I79" s="146">
        <v>1.54E-2</v>
      </c>
      <c r="J79" s="147">
        <v>2.3E-2</v>
      </c>
    </row>
    <row r="80" spans="2:10" ht="15" customHeight="1" x14ac:dyDescent="0.35">
      <c r="B80" s="156" t="s">
        <v>1946</v>
      </c>
      <c r="C80" s="144" t="s">
        <v>1943</v>
      </c>
      <c r="D80" s="146" t="s">
        <v>1959</v>
      </c>
      <c r="E80" s="146" t="s">
        <v>1961</v>
      </c>
      <c r="F80" s="146" t="s">
        <v>1949</v>
      </c>
      <c r="G80" s="146" t="s">
        <v>1950</v>
      </c>
      <c r="H80" s="146">
        <v>-7.5999999999999998E-2</v>
      </c>
      <c r="I80" s="146">
        <v>0.67559999999999998</v>
      </c>
      <c r="J80" s="147">
        <v>0.74644444444444402</v>
      </c>
    </row>
    <row r="81" spans="2:10" ht="15" customHeight="1" x14ac:dyDescent="0.35">
      <c r="B81" s="156" t="s">
        <v>1946</v>
      </c>
      <c r="C81" s="144" t="s">
        <v>1943</v>
      </c>
      <c r="D81" s="146" t="s">
        <v>1962</v>
      </c>
      <c r="E81" s="146" t="s">
        <v>1960</v>
      </c>
      <c r="F81" s="146" t="s">
        <v>1949</v>
      </c>
      <c r="G81" s="146" t="s">
        <v>1950</v>
      </c>
      <c r="H81" s="146">
        <v>0.80400000000000005</v>
      </c>
      <c r="I81" s="146">
        <v>9.7999999999999997E-3</v>
      </c>
      <c r="J81" s="147">
        <v>1.7399999999999999E-2</v>
      </c>
    </row>
    <row r="82" spans="2:10" ht="15" customHeight="1" x14ac:dyDescent="0.35">
      <c r="B82" s="156" t="s">
        <v>1946</v>
      </c>
      <c r="C82" s="144" t="s">
        <v>1943</v>
      </c>
      <c r="D82" s="146" t="s">
        <v>1962</v>
      </c>
      <c r="E82" s="146" t="s">
        <v>1961</v>
      </c>
      <c r="F82" s="146" t="s">
        <v>1949</v>
      </c>
      <c r="G82" s="146" t="s">
        <v>1950</v>
      </c>
      <c r="H82" s="146">
        <v>0.42599999999999999</v>
      </c>
      <c r="I82" s="146">
        <v>1.5100000000000001E-2</v>
      </c>
      <c r="J82" s="147">
        <v>2.3E-2</v>
      </c>
    </row>
    <row r="83" spans="2:10" ht="15" customHeight="1" x14ac:dyDescent="0.35">
      <c r="B83" s="156" t="s">
        <v>1946</v>
      </c>
      <c r="C83" s="144" t="s">
        <v>1943</v>
      </c>
      <c r="D83" s="146" t="s">
        <v>1960</v>
      </c>
      <c r="E83" s="146" t="s">
        <v>1961</v>
      </c>
      <c r="F83" s="146" t="s">
        <v>1949</v>
      </c>
      <c r="G83" s="146" t="s">
        <v>1950</v>
      </c>
      <c r="H83" s="146">
        <v>-9.6000000000000002E-2</v>
      </c>
      <c r="I83" s="146">
        <v>0.75480000000000003</v>
      </c>
      <c r="J83" s="147">
        <v>0.755</v>
      </c>
    </row>
    <row r="84" spans="2:10" ht="15" customHeight="1" x14ac:dyDescent="0.35">
      <c r="B84" s="156" t="s">
        <v>1946</v>
      </c>
      <c r="C84" s="144" t="s">
        <v>1943</v>
      </c>
      <c r="D84" s="144" t="s">
        <v>1958</v>
      </c>
      <c r="E84" s="144" t="s">
        <v>1959</v>
      </c>
      <c r="F84" s="144" t="s">
        <v>1951</v>
      </c>
      <c r="G84" s="144" t="s">
        <v>1514</v>
      </c>
      <c r="H84" s="144">
        <v>0.67009687093336401</v>
      </c>
      <c r="I84" s="144">
        <v>9.7000000000000003E-3</v>
      </c>
      <c r="J84" s="145">
        <v>2.0799999999999999E-2</v>
      </c>
    </row>
    <row r="85" spans="2:10" ht="15" customHeight="1" x14ac:dyDescent="0.35">
      <c r="B85" s="156" t="s">
        <v>1946</v>
      </c>
      <c r="C85" s="144" t="s">
        <v>1943</v>
      </c>
      <c r="D85" s="144" t="s">
        <v>1958</v>
      </c>
      <c r="E85" s="144" t="s">
        <v>1962</v>
      </c>
      <c r="F85" s="144" t="s">
        <v>1951</v>
      </c>
      <c r="G85" s="144" t="s">
        <v>1514</v>
      </c>
      <c r="H85" s="144">
        <v>0.38477269877543202</v>
      </c>
      <c r="I85" s="144">
        <v>7.7000000000000002E-3</v>
      </c>
      <c r="J85" s="145">
        <v>2.0799999999999999E-2</v>
      </c>
    </row>
    <row r="86" spans="2:10" ht="15" customHeight="1" x14ac:dyDescent="0.35">
      <c r="B86" s="156" t="s">
        <v>1946</v>
      </c>
      <c r="C86" s="144" t="s">
        <v>1943</v>
      </c>
      <c r="D86" s="144" t="s">
        <v>1958</v>
      </c>
      <c r="E86" s="144" t="s">
        <v>1960</v>
      </c>
      <c r="F86" s="144" t="s">
        <v>1951</v>
      </c>
      <c r="G86" s="144" t="s">
        <v>1514</v>
      </c>
      <c r="H86" s="144">
        <v>0.70178691126600201</v>
      </c>
      <c r="I86" s="144">
        <v>7.0000000000000001E-3</v>
      </c>
      <c r="J86" s="145">
        <v>2.0799999999999999E-2</v>
      </c>
    </row>
    <row r="87" spans="2:10" ht="15" customHeight="1" x14ac:dyDescent="0.35">
      <c r="B87" s="156" t="s">
        <v>1946</v>
      </c>
      <c r="C87" s="144" t="s">
        <v>1943</v>
      </c>
      <c r="D87" s="144" t="s">
        <v>1958</v>
      </c>
      <c r="E87" s="144" t="s">
        <v>1961</v>
      </c>
      <c r="F87" s="144" t="s">
        <v>1951</v>
      </c>
      <c r="G87" s="144" t="s">
        <v>1514</v>
      </c>
      <c r="H87" s="144">
        <v>0.58722595817954704</v>
      </c>
      <c r="I87" s="144">
        <v>8.0999999999999996E-3</v>
      </c>
      <c r="J87" s="145">
        <v>2.0799999999999999E-2</v>
      </c>
    </row>
    <row r="88" spans="2:10" ht="15" customHeight="1" x14ac:dyDescent="0.35">
      <c r="B88" s="156" t="s">
        <v>1946</v>
      </c>
      <c r="C88" s="144" t="s">
        <v>1943</v>
      </c>
      <c r="D88" s="144" t="s">
        <v>1959</v>
      </c>
      <c r="E88" s="144" t="s">
        <v>1962</v>
      </c>
      <c r="F88" s="144" t="s">
        <v>1951</v>
      </c>
      <c r="G88" s="144" t="s">
        <v>1514</v>
      </c>
      <c r="H88" s="144">
        <v>0.29063743521875701</v>
      </c>
      <c r="I88" s="144">
        <v>1.6899999999999998E-2</v>
      </c>
      <c r="J88" s="145">
        <v>2.1250000000000002E-2</v>
      </c>
    </row>
    <row r="89" spans="2:10" ht="15" customHeight="1" x14ac:dyDescent="0.35">
      <c r="B89" s="156" t="s">
        <v>1946</v>
      </c>
      <c r="C89" s="144" t="s">
        <v>1943</v>
      </c>
      <c r="D89" s="144" t="s">
        <v>1959</v>
      </c>
      <c r="E89" s="144" t="s">
        <v>1960</v>
      </c>
      <c r="F89" s="144" t="s">
        <v>1951</v>
      </c>
      <c r="G89" s="144" t="s">
        <v>1514</v>
      </c>
      <c r="H89" s="144">
        <v>0.34724753704142203</v>
      </c>
      <c r="I89" s="144">
        <v>1.66E-2</v>
      </c>
      <c r="J89" s="145">
        <v>2.1250000000000002E-2</v>
      </c>
    </row>
    <row r="90" spans="2:10" ht="15" customHeight="1" x14ac:dyDescent="0.35">
      <c r="B90" s="156" t="s">
        <v>1946</v>
      </c>
      <c r="C90" s="144" t="s">
        <v>1943</v>
      </c>
      <c r="D90" s="144" t="s">
        <v>1959</v>
      </c>
      <c r="E90" s="144" t="s">
        <v>1961</v>
      </c>
      <c r="F90" s="144" t="s">
        <v>1951</v>
      </c>
      <c r="G90" s="144" t="s">
        <v>1514</v>
      </c>
      <c r="H90" s="144">
        <v>-1.1545548502566399E-2</v>
      </c>
      <c r="I90" s="144">
        <v>0.50970000000000004</v>
      </c>
      <c r="J90" s="145">
        <v>0.55844444444444497</v>
      </c>
    </row>
    <row r="91" spans="2:10" ht="15" customHeight="1" x14ac:dyDescent="0.35">
      <c r="B91" s="156" t="s">
        <v>1946</v>
      </c>
      <c r="C91" s="144" t="s">
        <v>1943</v>
      </c>
      <c r="D91" s="144" t="s">
        <v>1962</v>
      </c>
      <c r="E91" s="144" t="s">
        <v>1960</v>
      </c>
      <c r="F91" s="144" t="s">
        <v>1951</v>
      </c>
      <c r="G91" s="144" t="s">
        <v>1514</v>
      </c>
      <c r="H91" s="144">
        <v>0.48003510555115098</v>
      </c>
      <c r="I91" s="144">
        <v>8.8999999999999999E-3</v>
      </c>
      <c r="J91" s="145">
        <v>2.0799999999999999E-2</v>
      </c>
    </row>
    <row r="92" spans="2:10" ht="15" customHeight="1" x14ac:dyDescent="0.35">
      <c r="B92" s="156" t="s">
        <v>1946</v>
      </c>
      <c r="C92" s="144" t="s">
        <v>1943</v>
      </c>
      <c r="D92" s="144" t="s">
        <v>1962</v>
      </c>
      <c r="E92" s="144" t="s">
        <v>1961</v>
      </c>
      <c r="F92" s="144" t="s">
        <v>1951</v>
      </c>
      <c r="G92" s="144" t="s">
        <v>1514</v>
      </c>
      <c r="H92" s="144">
        <v>0.256181115774539</v>
      </c>
      <c r="I92" s="144">
        <v>1.4999999999999999E-2</v>
      </c>
      <c r="J92" s="145">
        <v>2.1250000000000002E-2</v>
      </c>
    </row>
    <row r="93" spans="2:10" ht="15" customHeight="1" x14ac:dyDescent="0.35">
      <c r="B93" s="156" t="s">
        <v>1946</v>
      </c>
      <c r="C93" s="144" t="s">
        <v>1943</v>
      </c>
      <c r="D93" s="144" t="s">
        <v>1960</v>
      </c>
      <c r="E93" s="144" t="s">
        <v>1961</v>
      </c>
      <c r="F93" s="144" t="s">
        <v>1951</v>
      </c>
      <c r="G93" s="144" t="s">
        <v>1514</v>
      </c>
      <c r="H93" s="144">
        <v>-3.4496949721061002E-2</v>
      </c>
      <c r="I93" s="144">
        <v>0.58789999999999998</v>
      </c>
      <c r="J93" s="145">
        <v>0.58509999999999995</v>
      </c>
    </row>
    <row r="94" spans="2:10" ht="15" customHeight="1" x14ac:dyDescent="0.35">
      <c r="B94" s="157" t="s">
        <v>1952</v>
      </c>
      <c r="C94" s="144" t="s">
        <v>1947</v>
      </c>
      <c r="D94" s="146" t="s">
        <v>1958</v>
      </c>
      <c r="E94" s="146" t="s">
        <v>1959</v>
      </c>
      <c r="F94" s="146" t="s">
        <v>1948</v>
      </c>
      <c r="G94" s="146" t="s">
        <v>1972</v>
      </c>
      <c r="H94" s="146">
        <v>0.41926458385494603</v>
      </c>
      <c r="I94" s="146">
        <v>1.04E-2</v>
      </c>
      <c r="J94" s="147">
        <v>9.5999999999999992E-3</v>
      </c>
    </row>
    <row r="95" spans="2:10" ht="15" customHeight="1" x14ac:dyDescent="0.35">
      <c r="B95" s="157" t="s">
        <v>1952</v>
      </c>
      <c r="C95" s="144" t="s">
        <v>1947</v>
      </c>
      <c r="D95" s="146" t="s">
        <v>1958</v>
      </c>
      <c r="E95" s="146" t="s">
        <v>1962</v>
      </c>
      <c r="F95" s="146" t="s">
        <v>1948</v>
      </c>
      <c r="G95" s="146" t="s">
        <v>1972</v>
      </c>
      <c r="H95" s="146">
        <v>0.53399282911982004</v>
      </c>
      <c r="I95" s="146">
        <v>8.8999999999999999E-3</v>
      </c>
      <c r="J95" s="147">
        <v>9.5999999999999992E-3</v>
      </c>
    </row>
    <row r="96" spans="2:10" ht="15" customHeight="1" x14ac:dyDescent="0.35">
      <c r="B96" s="157" t="s">
        <v>1952</v>
      </c>
      <c r="C96" s="144" t="s">
        <v>1947</v>
      </c>
      <c r="D96" s="146" t="s">
        <v>1958</v>
      </c>
      <c r="E96" s="146" t="s">
        <v>1960</v>
      </c>
      <c r="F96" s="146" t="s">
        <v>1948</v>
      </c>
      <c r="G96" s="146" t="s">
        <v>1972</v>
      </c>
      <c r="H96" s="146">
        <v>0.51443460077845404</v>
      </c>
      <c r="I96" s="146">
        <v>6.4999999999999997E-3</v>
      </c>
      <c r="J96" s="147">
        <v>9.5999999999999992E-3</v>
      </c>
    </row>
    <row r="97" spans="2:10" ht="15" customHeight="1" x14ac:dyDescent="0.35">
      <c r="B97" s="157" t="s">
        <v>1952</v>
      </c>
      <c r="C97" s="144" t="s">
        <v>1947</v>
      </c>
      <c r="D97" s="146" t="s">
        <v>1958</v>
      </c>
      <c r="E97" s="146" t="s">
        <v>1961</v>
      </c>
      <c r="F97" s="146" t="s">
        <v>1948</v>
      </c>
      <c r="G97" s="146" t="s">
        <v>1972</v>
      </c>
      <c r="H97" s="146">
        <v>0.46769829094794402</v>
      </c>
      <c r="I97" s="146">
        <v>8.3000000000000001E-3</v>
      </c>
      <c r="J97" s="147">
        <v>9.5999999999999992E-3</v>
      </c>
    </row>
    <row r="98" spans="2:10" ht="15" customHeight="1" x14ac:dyDescent="0.35">
      <c r="B98" s="157" t="s">
        <v>1952</v>
      </c>
      <c r="C98" s="144" t="s">
        <v>1947</v>
      </c>
      <c r="D98" s="146" t="s">
        <v>1959</v>
      </c>
      <c r="E98" s="146" t="s">
        <v>1962</v>
      </c>
      <c r="F98" s="146" t="s">
        <v>1948</v>
      </c>
      <c r="G98" s="146" t="s">
        <v>1972</v>
      </c>
      <c r="H98" s="146">
        <v>0.27065251718827399</v>
      </c>
      <c r="I98" s="146">
        <v>7.4000000000000003E-3</v>
      </c>
      <c r="J98" s="147">
        <v>9.5999999999999992E-3</v>
      </c>
    </row>
    <row r="99" spans="2:10" ht="15" customHeight="1" x14ac:dyDescent="0.35">
      <c r="B99" s="157" t="s">
        <v>1952</v>
      </c>
      <c r="C99" s="144" t="s">
        <v>1947</v>
      </c>
      <c r="D99" s="146" t="s">
        <v>1959</v>
      </c>
      <c r="E99" s="146" t="s">
        <v>1960</v>
      </c>
      <c r="F99" s="146" t="s">
        <v>1948</v>
      </c>
      <c r="G99" s="146" t="s">
        <v>1972</v>
      </c>
      <c r="H99" s="146">
        <v>0.29104807494742202</v>
      </c>
      <c r="I99" s="146">
        <v>9.1999999999999998E-3</v>
      </c>
      <c r="J99" s="147">
        <v>9.5999999999999992E-3</v>
      </c>
    </row>
    <row r="100" spans="2:10" ht="15" customHeight="1" x14ac:dyDescent="0.35">
      <c r="B100" s="157" t="s">
        <v>1952</v>
      </c>
      <c r="C100" s="144" t="s">
        <v>1947</v>
      </c>
      <c r="D100" s="146" t="s">
        <v>1959</v>
      </c>
      <c r="E100" s="146" t="s">
        <v>1961</v>
      </c>
      <c r="F100" s="146" t="s">
        <v>1948</v>
      </c>
      <c r="G100" s="146" t="s">
        <v>1972</v>
      </c>
      <c r="H100" s="146">
        <v>0.31415505119936699</v>
      </c>
      <c r="I100" s="146">
        <v>8.0999999999999996E-3</v>
      </c>
      <c r="J100" s="147">
        <v>9.5999999999999992E-3</v>
      </c>
    </row>
    <row r="101" spans="2:10" ht="15" customHeight="1" x14ac:dyDescent="0.35">
      <c r="B101" s="157" t="s">
        <v>1952</v>
      </c>
      <c r="C101" s="144" t="s">
        <v>1947</v>
      </c>
      <c r="D101" s="146" t="s">
        <v>1962</v>
      </c>
      <c r="E101" s="146" t="s">
        <v>1960</v>
      </c>
      <c r="F101" s="146" t="s">
        <v>1948</v>
      </c>
      <c r="G101" s="146" t="s">
        <v>1972</v>
      </c>
      <c r="H101" s="146">
        <v>0.46028508966454801</v>
      </c>
      <c r="I101" s="146">
        <v>8.8000000000000005E-3</v>
      </c>
      <c r="J101" s="147">
        <v>9.5999999999999992E-3</v>
      </c>
    </row>
    <row r="102" spans="2:10" ht="15" customHeight="1" x14ac:dyDescent="0.35">
      <c r="B102" s="157" t="s">
        <v>1952</v>
      </c>
      <c r="C102" s="144" t="s">
        <v>1947</v>
      </c>
      <c r="D102" s="146" t="s">
        <v>1962</v>
      </c>
      <c r="E102" s="146" t="s">
        <v>1961</v>
      </c>
      <c r="F102" s="146" t="s">
        <v>1948</v>
      </c>
      <c r="G102" s="146" t="s">
        <v>1972</v>
      </c>
      <c r="H102" s="146">
        <v>0.42209247072624401</v>
      </c>
      <c r="I102" s="146">
        <v>8.2000000000000007E-3</v>
      </c>
      <c r="J102" s="147">
        <v>9.5999999999999992E-3</v>
      </c>
    </row>
    <row r="103" spans="2:10" ht="15" customHeight="1" x14ac:dyDescent="0.35">
      <c r="B103" s="157" t="s">
        <v>1952</v>
      </c>
      <c r="C103" s="144" t="s">
        <v>1947</v>
      </c>
      <c r="D103" s="146" t="s">
        <v>1960</v>
      </c>
      <c r="E103" s="146" t="s">
        <v>1961</v>
      </c>
      <c r="F103" s="146" t="s">
        <v>1948</v>
      </c>
      <c r="G103" s="146" t="s">
        <v>1972</v>
      </c>
      <c r="H103" s="146">
        <v>0.30576372143040698</v>
      </c>
      <c r="I103" s="146">
        <v>7.4999999999999997E-3</v>
      </c>
      <c r="J103" s="147">
        <v>9.5999999999999992E-3</v>
      </c>
    </row>
    <row r="104" spans="2:10" ht="15" customHeight="1" x14ac:dyDescent="0.35">
      <c r="B104" s="157" t="s">
        <v>1952</v>
      </c>
      <c r="C104" s="144" t="s">
        <v>1947</v>
      </c>
      <c r="D104" s="144" t="s">
        <v>1958</v>
      </c>
      <c r="E104" s="144" t="s">
        <v>1959</v>
      </c>
      <c r="F104" s="144" t="s">
        <v>1949</v>
      </c>
      <c r="G104" s="144" t="s">
        <v>1950</v>
      </c>
      <c r="H104" s="144">
        <v>0.82799999999999996</v>
      </c>
      <c r="I104" s="144">
        <v>7.4999999999999997E-3</v>
      </c>
      <c r="J104" s="145">
        <v>1.04E-2</v>
      </c>
    </row>
    <row r="105" spans="2:10" ht="15" customHeight="1" x14ac:dyDescent="0.35">
      <c r="B105" s="157" t="s">
        <v>1952</v>
      </c>
      <c r="C105" s="144" t="s">
        <v>1947</v>
      </c>
      <c r="D105" s="144" t="s">
        <v>1958</v>
      </c>
      <c r="E105" s="144" t="s">
        <v>1962</v>
      </c>
      <c r="F105" s="144" t="s">
        <v>1949</v>
      </c>
      <c r="G105" s="144" t="s">
        <v>1950</v>
      </c>
      <c r="H105" s="144">
        <v>0.94399999999999995</v>
      </c>
      <c r="I105" s="144">
        <v>7.3000000000000001E-3</v>
      </c>
      <c r="J105" s="145">
        <v>1.04E-2</v>
      </c>
    </row>
    <row r="106" spans="2:10" ht="15" customHeight="1" x14ac:dyDescent="0.35">
      <c r="B106" s="157" t="s">
        <v>1952</v>
      </c>
      <c r="C106" s="144" t="s">
        <v>1947</v>
      </c>
      <c r="D106" s="144" t="s">
        <v>1958</v>
      </c>
      <c r="E106" s="144" t="s">
        <v>1960</v>
      </c>
      <c r="F106" s="144" t="s">
        <v>1949</v>
      </c>
      <c r="G106" s="144" t="s">
        <v>1950</v>
      </c>
      <c r="H106" s="144">
        <v>0.97599999999999998</v>
      </c>
      <c r="I106" s="144">
        <v>6.1999999999999998E-3</v>
      </c>
      <c r="J106" s="145">
        <v>1.04E-2</v>
      </c>
    </row>
    <row r="107" spans="2:10" ht="15" customHeight="1" x14ac:dyDescent="0.35">
      <c r="B107" s="157" t="s">
        <v>1952</v>
      </c>
      <c r="C107" s="144" t="s">
        <v>1947</v>
      </c>
      <c r="D107" s="144" t="s">
        <v>1958</v>
      </c>
      <c r="E107" s="144" t="s">
        <v>1961</v>
      </c>
      <c r="F107" s="144" t="s">
        <v>1949</v>
      </c>
      <c r="G107" s="144" t="s">
        <v>1950</v>
      </c>
      <c r="H107" s="144">
        <v>0.98799999999999999</v>
      </c>
      <c r="I107" s="144">
        <v>7.6E-3</v>
      </c>
      <c r="J107" s="145">
        <v>1.04E-2</v>
      </c>
    </row>
    <row r="108" spans="2:10" ht="15" customHeight="1" x14ac:dyDescent="0.35">
      <c r="B108" s="157" t="s">
        <v>1952</v>
      </c>
      <c r="C108" s="144" t="s">
        <v>1947</v>
      </c>
      <c r="D108" s="144" t="s">
        <v>1959</v>
      </c>
      <c r="E108" s="144" t="s">
        <v>1962</v>
      </c>
      <c r="F108" s="144" t="s">
        <v>1949</v>
      </c>
      <c r="G108" s="144" t="s">
        <v>1950</v>
      </c>
      <c r="H108" s="144">
        <v>0.48</v>
      </c>
      <c r="I108" s="144">
        <v>8.5000000000000006E-3</v>
      </c>
      <c r="J108" s="145">
        <v>1.04E-2</v>
      </c>
    </row>
    <row r="109" spans="2:10" ht="15" customHeight="1" x14ac:dyDescent="0.35">
      <c r="B109" s="157" t="s">
        <v>1952</v>
      </c>
      <c r="C109" s="144" t="s">
        <v>1947</v>
      </c>
      <c r="D109" s="144" t="s">
        <v>1959</v>
      </c>
      <c r="E109" s="144" t="s">
        <v>1960</v>
      </c>
      <c r="F109" s="144" t="s">
        <v>1949</v>
      </c>
      <c r="G109" s="144" t="s">
        <v>1950</v>
      </c>
      <c r="H109" s="144">
        <v>0.52800000000000002</v>
      </c>
      <c r="I109" s="144">
        <v>7.1999999999999998E-3</v>
      </c>
      <c r="J109" s="145">
        <v>1.04E-2</v>
      </c>
    </row>
    <row r="110" spans="2:10" ht="15" customHeight="1" x14ac:dyDescent="0.35">
      <c r="B110" s="157" t="s">
        <v>1952</v>
      </c>
      <c r="C110" s="144" t="s">
        <v>1947</v>
      </c>
      <c r="D110" s="144" t="s">
        <v>1959</v>
      </c>
      <c r="E110" s="144" t="s">
        <v>1961</v>
      </c>
      <c r="F110" s="144" t="s">
        <v>1949</v>
      </c>
      <c r="G110" s="144" t="s">
        <v>1950</v>
      </c>
      <c r="H110" s="144">
        <v>0.628</v>
      </c>
      <c r="I110" s="144">
        <v>8.0000000000000002E-3</v>
      </c>
      <c r="J110" s="145">
        <v>1.04E-2</v>
      </c>
    </row>
    <row r="111" spans="2:10" ht="15" customHeight="1" x14ac:dyDescent="0.35">
      <c r="B111" s="157" t="s">
        <v>1952</v>
      </c>
      <c r="C111" s="144" t="s">
        <v>1947</v>
      </c>
      <c r="D111" s="144" t="s">
        <v>1962</v>
      </c>
      <c r="E111" s="144" t="s">
        <v>1960</v>
      </c>
      <c r="F111" s="144" t="s">
        <v>1949</v>
      </c>
      <c r="G111" s="144" t="s">
        <v>1950</v>
      </c>
      <c r="H111" s="144">
        <v>0.89200000000000002</v>
      </c>
      <c r="I111" s="144">
        <v>9.7999999999999997E-3</v>
      </c>
      <c r="J111" s="145">
        <v>1.04E-2</v>
      </c>
    </row>
    <row r="112" spans="2:10" ht="15" customHeight="1" x14ac:dyDescent="0.35">
      <c r="B112" s="157" t="s">
        <v>1952</v>
      </c>
      <c r="C112" s="144" t="s">
        <v>1947</v>
      </c>
      <c r="D112" s="144" t="s">
        <v>1962</v>
      </c>
      <c r="E112" s="144" t="s">
        <v>1961</v>
      </c>
      <c r="F112" s="144" t="s">
        <v>1949</v>
      </c>
      <c r="G112" s="144" t="s">
        <v>1950</v>
      </c>
      <c r="H112" s="144">
        <v>0.77200000000000002</v>
      </c>
      <c r="I112" s="144">
        <v>7.6E-3</v>
      </c>
      <c r="J112" s="145">
        <v>1.04E-2</v>
      </c>
    </row>
    <row r="113" spans="2:10" ht="15" customHeight="1" x14ac:dyDescent="0.35">
      <c r="B113" s="157" t="s">
        <v>1952</v>
      </c>
      <c r="C113" s="144" t="s">
        <v>1947</v>
      </c>
      <c r="D113" s="144" t="s">
        <v>1960</v>
      </c>
      <c r="E113" s="144" t="s">
        <v>1961</v>
      </c>
      <c r="F113" s="144" t="s">
        <v>1949</v>
      </c>
      <c r="G113" s="144" t="s">
        <v>1950</v>
      </c>
      <c r="H113" s="144">
        <v>0.57199999999999995</v>
      </c>
      <c r="I113" s="144">
        <v>8.0999999999999996E-3</v>
      </c>
      <c r="J113" s="145">
        <v>1.04E-2</v>
      </c>
    </row>
    <row r="114" spans="2:10" ht="15" customHeight="1" x14ac:dyDescent="0.35">
      <c r="B114" s="157" t="s">
        <v>1952</v>
      </c>
      <c r="C114" s="144" t="s">
        <v>1947</v>
      </c>
      <c r="D114" s="146" t="s">
        <v>1958</v>
      </c>
      <c r="E114" s="146" t="s">
        <v>1959</v>
      </c>
      <c r="F114" s="146" t="s">
        <v>1951</v>
      </c>
      <c r="G114" s="146" t="s">
        <v>1514</v>
      </c>
      <c r="H114" s="146">
        <v>0.19248302983600299</v>
      </c>
      <c r="I114" s="146">
        <v>8.0000000000000002E-3</v>
      </c>
      <c r="J114" s="147">
        <v>9.7999999999999997E-3</v>
      </c>
    </row>
    <row r="115" spans="2:10" ht="15" customHeight="1" x14ac:dyDescent="0.35">
      <c r="B115" s="157" t="s">
        <v>1952</v>
      </c>
      <c r="C115" s="144" t="s">
        <v>1947</v>
      </c>
      <c r="D115" s="146" t="s">
        <v>1958</v>
      </c>
      <c r="E115" s="146" t="s">
        <v>1962</v>
      </c>
      <c r="F115" s="146" t="s">
        <v>1951</v>
      </c>
      <c r="G115" s="146" t="s">
        <v>1514</v>
      </c>
      <c r="H115" s="146">
        <v>0.27917387530979698</v>
      </c>
      <c r="I115" s="146">
        <v>8.2000000000000007E-3</v>
      </c>
      <c r="J115" s="147">
        <v>9.7999999999999997E-3</v>
      </c>
    </row>
    <row r="116" spans="2:10" ht="15" customHeight="1" x14ac:dyDescent="0.35">
      <c r="B116" s="157" t="s">
        <v>1952</v>
      </c>
      <c r="C116" s="144" t="s">
        <v>1947</v>
      </c>
      <c r="D116" s="146" t="s">
        <v>1958</v>
      </c>
      <c r="E116" s="146" t="s">
        <v>1960</v>
      </c>
      <c r="F116" s="146" t="s">
        <v>1951</v>
      </c>
      <c r="G116" s="146" t="s">
        <v>1514</v>
      </c>
      <c r="H116" s="146">
        <v>0.25871262381489701</v>
      </c>
      <c r="I116" s="146">
        <v>6.3E-3</v>
      </c>
      <c r="J116" s="147">
        <v>9.7999999999999997E-3</v>
      </c>
    </row>
    <row r="117" spans="2:10" ht="15" customHeight="1" x14ac:dyDescent="0.35">
      <c r="B117" s="157" t="s">
        <v>1952</v>
      </c>
      <c r="C117" s="144" t="s">
        <v>1947</v>
      </c>
      <c r="D117" s="146" t="s">
        <v>1958</v>
      </c>
      <c r="E117" s="146" t="s">
        <v>1961</v>
      </c>
      <c r="F117" s="146" t="s">
        <v>1951</v>
      </c>
      <c r="G117" s="146" t="s">
        <v>1514</v>
      </c>
      <c r="H117" s="146">
        <v>0.22470420057794799</v>
      </c>
      <c r="I117" s="146">
        <v>8.8000000000000005E-3</v>
      </c>
      <c r="J117" s="147">
        <v>9.7999999999999997E-3</v>
      </c>
    </row>
    <row r="118" spans="2:10" ht="15" customHeight="1" x14ac:dyDescent="0.35">
      <c r="B118" s="157" t="s">
        <v>1952</v>
      </c>
      <c r="C118" s="144" t="s">
        <v>1947</v>
      </c>
      <c r="D118" s="146" t="s">
        <v>1959</v>
      </c>
      <c r="E118" s="146" t="s">
        <v>1962</v>
      </c>
      <c r="F118" s="146" t="s">
        <v>1951</v>
      </c>
      <c r="G118" s="146" t="s">
        <v>1514</v>
      </c>
      <c r="H118" s="146">
        <v>0.103252272101602</v>
      </c>
      <c r="I118" s="146">
        <v>9.2999999999999992E-3</v>
      </c>
      <c r="J118" s="147">
        <v>9.7999999999999997E-3</v>
      </c>
    </row>
    <row r="119" spans="2:10" ht="15" customHeight="1" x14ac:dyDescent="0.35">
      <c r="B119" s="157" t="s">
        <v>1952</v>
      </c>
      <c r="C119" s="144" t="s">
        <v>1947</v>
      </c>
      <c r="D119" s="146" t="s">
        <v>1959</v>
      </c>
      <c r="E119" s="146" t="s">
        <v>1960</v>
      </c>
      <c r="F119" s="146" t="s">
        <v>1951</v>
      </c>
      <c r="G119" s="146" t="s">
        <v>1514</v>
      </c>
      <c r="H119" s="146">
        <v>0.10884467481538999</v>
      </c>
      <c r="I119" s="146">
        <v>7.3000000000000001E-3</v>
      </c>
      <c r="J119" s="147">
        <v>9.7999999999999997E-3</v>
      </c>
    </row>
    <row r="120" spans="2:10" ht="15" customHeight="1" x14ac:dyDescent="0.35">
      <c r="B120" s="157" t="s">
        <v>1952</v>
      </c>
      <c r="C120" s="144" t="s">
        <v>1947</v>
      </c>
      <c r="D120" s="146" t="s">
        <v>1959</v>
      </c>
      <c r="E120" s="146" t="s">
        <v>1961</v>
      </c>
      <c r="F120" s="146" t="s">
        <v>1951</v>
      </c>
      <c r="G120" s="146" t="s">
        <v>1514</v>
      </c>
      <c r="H120" s="146">
        <v>0.124393565492861</v>
      </c>
      <c r="I120" s="146">
        <v>7.4999999999999997E-3</v>
      </c>
      <c r="J120" s="147">
        <v>9.7999999999999997E-3</v>
      </c>
    </row>
    <row r="121" spans="2:10" ht="15" customHeight="1" x14ac:dyDescent="0.35">
      <c r="B121" s="157" t="s">
        <v>1952</v>
      </c>
      <c r="C121" s="144" t="s">
        <v>1947</v>
      </c>
      <c r="D121" s="146" t="s">
        <v>1962</v>
      </c>
      <c r="E121" s="146" t="s">
        <v>1960</v>
      </c>
      <c r="F121" s="146" t="s">
        <v>1951</v>
      </c>
      <c r="G121" s="146" t="s">
        <v>1514</v>
      </c>
      <c r="H121" s="146">
        <v>0.213819598460744</v>
      </c>
      <c r="I121" s="146">
        <v>8.0999999999999996E-3</v>
      </c>
      <c r="J121" s="147">
        <v>9.7999999999999997E-3</v>
      </c>
    </row>
    <row r="122" spans="2:10" ht="15" customHeight="1" x14ac:dyDescent="0.35">
      <c r="B122" s="157" t="s">
        <v>1952</v>
      </c>
      <c r="C122" s="144" t="s">
        <v>1947</v>
      </c>
      <c r="D122" s="146" t="s">
        <v>1962</v>
      </c>
      <c r="E122" s="146" t="s">
        <v>1961</v>
      </c>
      <c r="F122" s="146" t="s">
        <v>1951</v>
      </c>
      <c r="G122" s="146" t="s">
        <v>1514</v>
      </c>
      <c r="H122" s="146">
        <v>0.20004527549491299</v>
      </c>
      <c r="I122" s="146">
        <v>7.6E-3</v>
      </c>
      <c r="J122" s="147">
        <v>9.7999999999999997E-3</v>
      </c>
    </row>
    <row r="123" spans="2:10" ht="15" customHeight="1" x14ac:dyDescent="0.35">
      <c r="B123" s="157" t="s">
        <v>1952</v>
      </c>
      <c r="C123" s="144" t="s">
        <v>1947</v>
      </c>
      <c r="D123" s="146" t="s">
        <v>1960</v>
      </c>
      <c r="E123" s="146" t="s">
        <v>1961</v>
      </c>
      <c r="F123" s="146" t="s">
        <v>1951</v>
      </c>
      <c r="G123" s="146" t="s">
        <v>1514</v>
      </c>
      <c r="H123" s="146">
        <v>0.11872567205689299</v>
      </c>
      <c r="I123" s="146">
        <v>8.3999999999999995E-3</v>
      </c>
      <c r="J123" s="147">
        <v>9.7999999999999997E-3</v>
      </c>
    </row>
    <row r="124" spans="2:10" ht="15" customHeight="1" x14ac:dyDescent="0.35">
      <c r="B124" s="157" t="s">
        <v>1952</v>
      </c>
      <c r="C124" s="144" t="s">
        <v>1942</v>
      </c>
      <c r="D124" s="144" t="s">
        <v>1958</v>
      </c>
      <c r="E124" s="144" t="s">
        <v>1959</v>
      </c>
      <c r="F124" s="144" t="s">
        <v>1948</v>
      </c>
      <c r="G124" s="144" t="s">
        <v>1972</v>
      </c>
      <c r="H124" s="144">
        <v>-0.167417749523633</v>
      </c>
      <c r="I124" s="144">
        <v>1</v>
      </c>
      <c r="J124" s="145">
        <v>1</v>
      </c>
    </row>
    <row r="125" spans="2:10" ht="15" customHeight="1" x14ac:dyDescent="0.35">
      <c r="B125" s="157" t="s">
        <v>1952</v>
      </c>
      <c r="C125" s="144" t="s">
        <v>1942</v>
      </c>
      <c r="D125" s="144" t="s">
        <v>1958</v>
      </c>
      <c r="E125" s="144" t="s">
        <v>1962</v>
      </c>
      <c r="F125" s="144" t="s">
        <v>1948</v>
      </c>
      <c r="G125" s="144" t="s">
        <v>1972</v>
      </c>
      <c r="H125" s="144">
        <v>0.41669408848859402</v>
      </c>
      <c r="I125" s="144">
        <v>7.7999999999999996E-3</v>
      </c>
      <c r="J125" s="145">
        <v>2.1000000000000001E-2</v>
      </c>
    </row>
    <row r="126" spans="2:10" ht="15" customHeight="1" x14ac:dyDescent="0.35">
      <c r="B126" s="157" t="s">
        <v>1952</v>
      </c>
      <c r="C126" s="144" t="s">
        <v>1942</v>
      </c>
      <c r="D126" s="144" t="s">
        <v>1958</v>
      </c>
      <c r="E126" s="144" t="s">
        <v>1960</v>
      </c>
      <c r="F126" s="144" t="s">
        <v>1948</v>
      </c>
      <c r="G126" s="144" t="s">
        <v>1972</v>
      </c>
      <c r="H126" s="144">
        <v>-0.25280251425103401</v>
      </c>
      <c r="I126" s="144">
        <v>1</v>
      </c>
      <c r="J126" s="145">
        <v>1</v>
      </c>
    </row>
    <row r="127" spans="2:10" ht="15" customHeight="1" x14ac:dyDescent="0.35">
      <c r="B127" s="157" t="s">
        <v>1952</v>
      </c>
      <c r="C127" s="144" t="s">
        <v>1942</v>
      </c>
      <c r="D127" s="144" t="s">
        <v>1958</v>
      </c>
      <c r="E127" s="144" t="s">
        <v>1961</v>
      </c>
      <c r="F127" s="144" t="s">
        <v>1948</v>
      </c>
      <c r="G127" s="144" t="s">
        <v>1972</v>
      </c>
      <c r="H127" s="144">
        <v>9.4169925620336097E-3</v>
      </c>
      <c r="I127" s="144">
        <v>0.88990000000000002</v>
      </c>
      <c r="J127" s="145">
        <v>1</v>
      </c>
    </row>
    <row r="128" spans="2:10" ht="15" customHeight="1" x14ac:dyDescent="0.35">
      <c r="B128" s="157" t="s">
        <v>1952</v>
      </c>
      <c r="C128" s="144" t="s">
        <v>1942</v>
      </c>
      <c r="D128" s="144" t="s">
        <v>1959</v>
      </c>
      <c r="E128" s="144" t="s">
        <v>1962</v>
      </c>
      <c r="F128" s="144" t="s">
        <v>1948</v>
      </c>
      <c r="G128" s="144" t="s">
        <v>1972</v>
      </c>
      <c r="H128" s="144">
        <v>0.11799168872525601</v>
      </c>
      <c r="I128" s="144">
        <v>0.47920000000000001</v>
      </c>
      <c r="J128" s="145">
        <v>0.80500000000000005</v>
      </c>
    </row>
    <row r="129" spans="2:10" ht="15" customHeight="1" x14ac:dyDescent="0.35">
      <c r="B129" s="157" t="s">
        <v>1952</v>
      </c>
      <c r="C129" s="144" t="s">
        <v>1942</v>
      </c>
      <c r="D129" s="144" t="s">
        <v>1959</v>
      </c>
      <c r="E129" s="144" t="s">
        <v>1960</v>
      </c>
      <c r="F129" s="144" t="s">
        <v>1948</v>
      </c>
      <c r="G129" s="144" t="s">
        <v>1972</v>
      </c>
      <c r="H129" s="144">
        <v>0.164410346608241</v>
      </c>
      <c r="I129" s="144">
        <v>0.1469</v>
      </c>
      <c r="J129" s="145">
        <v>0.28220000000000001</v>
      </c>
    </row>
    <row r="130" spans="2:10" ht="15" customHeight="1" x14ac:dyDescent="0.35">
      <c r="B130" s="157" t="s">
        <v>1952</v>
      </c>
      <c r="C130" s="144" t="s">
        <v>1942</v>
      </c>
      <c r="D130" s="144" t="s">
        <v>1959</v>
      </c>
      <c r="E130" s="144" t="s">
        <v>1961</v>
      </c>
      <c r="F130" s="144" t="s">
        <v>1948</v>
      </c>
      <c r="G130" s="144" t="s">
        <v>1972</v>
      </c>
      <c r="H130" s="144">
        <v>0.33191981924811598</v>
      </c>
      <c r="I130" s="144">
        <v>8.3000000000000001E-3</v>
      </c>
      <c r="J130" s="145">
        <v>2.1000000000000001E-2</v>
      </c>
    </row>
    <row r="131" spans="2:10" ht="15" customHeight="1" x14ac:dyDescent="0.35">
      <c r="B131" s="157" t="s">
        <v>1952</v>
      </c>
      <c r="C131" s="144" t="s">
        <v>1942</v>
      </c>
      <c r="D131" s="144" t="s">
        <v>1962</v>
      </c>
      <c r="E131" s="144" t="s">
        <v>1960</v>
      </c>
      <c r="F131" s="144" t="s">
        <v>1948</v>
      </c>
      <c r="G131" s="144" t="s">
        <v>1972</v>
      </c>
      <c r="H131" s="144">
        <v>9.7686389748377095E-2</v>
      </c>
      <c r="I131" s="144">
        <v>0.64900000000000002</v>
      </c>
      <c r="J131" s="145">
        <v>0.92328571428571404</v>
      </c>
    </row>
    <row r="132" spans="2:10" ht="15" customHeight="1" x14ac:dyDescent="0.35">
      <c r="B132" s="157" t="s">
        <v>1952</v>
      </c>
      <c r="C132" s="144" t="s">
        <v>1942</v>
      </c>
      <c r="D132" s="144" t="s">
        <v>1962</v>
      </c>
      <c r="E132" s="144" t="s">
        <v>1961</v>
      </c>
      <c r="F132" s="144" t="s">
        <v>1948</v>
      </c>
      <c r="G132" s="144" t="s">
        <v>1972</v>
      </c>
      <c r="H132" s="144">
        <v>0.356013243971666</v>
      </c>
      <c r="I132" s="144">
        <v>7.4000000000000003E-3</v>
      </c>
      <c r="J132" s="145">
        <v>2.1000000000000001E-2</v>
      </c>
    </row>
    <row r="133" spans="2:10" ht="15" customHeight="1" x14ac:dyDescent="0.35">
      <c r="B133" s="157" t="s">
        <v>1952</v>
      </c>
      <c r="C133" s="144" t="s">
        <v>1942</v>
      </c>
      <c r="D133" s="144" t="s">
        <v>1960</v>
      </c>
      <c r="E133" s="144" t="s">
        <v>1961</v>
      </c>
      <c r="F133" s="144" t="s">
        <v>1948</v>
      </c>
      <c r="G133" s="144" t="s">
        <v>1972</v>
      </c>
      <c r="H133" s="144">
        <v>0.357551634612569</v>
      </c>
      <c r="I133" s="144">
        <v>8.0000000000000002E-3</v>
      </c>
      <c r="J133" s="145">
        <v>2.1000000000000001E-2</v>
      </c>
    </row>
    <row r="134" spans="2:10" ht="15" customHeight="1" x14ac:dyDescent="0.35">
      <c r="B134" s="157" t="s">
        <v>1952</v>
      </c>
      <c r="C134" s="144" t="s">
        <v>1942</v>
      </c>
      <c r="D134" s="146" t="s">
        <v>1958</v>
      </c>
      <c r="E134" s="146" t="s">
        <v>1959</v>
      </c>
      <c r="F134" s="146" t="s">
        <v>1949</v>
      </c>
      <c r="G134" s="146" t="s">
        <v>1950</v>
      </c>
      <c r="H134" s="146">
        <v>-0.47199999999999998</v>
      </c>
      <c r="I134" s="146">
        <v>1</v>
      </c>
      <c r="J134" s="147">
        <v>1</v>
      </c>
    </row>
    <row r="135" spans="2:10" ht="15" customHeight="1" x14ac:dyDescent="0.35">
      <c r="B135" s="157" t="s">
        <v>1952</v>
      </c>
      <c r="C135" s="144" t="s">
        <v>1942</v>
      </c>
      <c r="D135" s="146" t="s">
        <v>1958</v>
      </c>
      <c r="E135" s="146" t="s">
        <v>1962</v>
      </c>
      <c r="F135" s="146" t="s">
        <v>1949</v>
      </c>
      <c r="G135" s="146" t="s">
        <v>1950</v>
      </c>
      <c r="H135" s="146">
        <v>0.56399999999999995</v>
      </c>
      <c r="I135" s="146">
        <v>8.3999999999999995E-3</v>
      </c>
      <c r="J135" s="147">
        <v>2.9000000000000001E-2</v>
      </c>
    </row>
    <row r="136" spans="2:10" ht="15" customHeight="1" x14ac:dyDescent="0.35">
      <c r="B136" s="157" t="s">
        <v>1952</v>
      </c>
      <c r="C136" s="144" t="s">
        <v>1942</v>
      </c>
      <c r="D136" s="146" t="s">
        <v>1958</v>
      </c>
      <c r="E136" s="146" t="s">
        <v>1960</v>
      </c>
      <c r="F136" s="146" t="s">
        <v>1949</v>
      </c>
      <c r="G136" s="146" t="s">
        <v>1950</v>
      </c>
      <c r="H136" s="146">
        <v>-0.57599999999999996</v>
      </c>
      <c r="I136" s="146">
        <v>1</v>
      </c>
      <c r="J136" s="147">
        <v>1</v>
      </c>
    </row>
    <row r="137" spans="2:10" ht="15" customHeight="1" x14ac:dyDescent="0.35">
      <c r="B137" s="157" t="s">
        <v>1952</v>
      </c>
      <c r="C137" s="144" t="s">
        <v>1942</v>
      </c>
      <c r="D137" s="146" t="s">
        <v>1958</v>
      </c>
      <c r="E137" s="146" t="s">
        <v>1961</v>
      </c>
      <c r="F137" s="146" t="s">
        <v>1949</v>
      </c>
      <c r="G137" s="146" t="s">
        <v>1950</v>
      </c>
      <c r="H137" s="146">
        <v>-0.20399999999999999</v>
      </c>
      <c r="I137" s="146">
        <v>0.9103</v>
      </c>
      <c r="J137" s="147">
        <v>1</v>
      </c>
    </row>
    <row r="138" spans="2:10" ht="15" customHeight="1" x14ac:dyDescent="0.35">
      <c r="B138" s="157" t="s">
        <v>1952</v>
      </c>
      <c r="C138" s="144" t="s">
        <v>1942</v>
      </c>
      <c r="D138" s="146" t="s">
        <v>1959</v>
      </c>
      <c r="E138" s="146" t="s">
        <v>1962</v>
      </c>
      <c r="F138" s="146" t="s">
        <v>1949</v>
      </c>
      <c r="G138" s="146" t="s">
        <v>1950</v>
      </c>
      <c r="H138" s="146">
        <v>0.11600000000000001</v>
      </c>
      <c r="I138" s="146">
        <v>0.1386</v>
      </c>
      <c r="J138" s="147">
        <v>0.27879999999999999</v>
      </c>
    </row>
    <row r="139" spans="2:10" ht="15" customHeight="1" x14ac:dyDescent="0.35">
      <c r="B139" s="157" t="s">
        <v>1952</v>
      </c>
      <c r="C139" s="144" t="s">
        <v>1942</v>
      </c>
      <c r="D139" s="146" t="s">
        <v>1959</v>
      </c>
      <c r="E139" s="146" t="s">
        <v>1960</v>
      </c>
      <c r="F139" s="146" t="s">
        <v>1949</v>
      </c>
      <c r="G139" s="146" t="s">
        <v>1950</v>
      </c>
      <c r="H139" s="146">
        <v>0.112</v>
      </c>
      <c r="I139" s="146">
        <v>0.1767</v>
      </c>
      <c r="J139" s="147">
        <v>0.29016666666666702</v>
      </c>
    </row>
    <row r="140" spans="2:10" ht="15" customHeight="1" x14ac:dyDescent="0.35">
      <c r="B140" s="157" t="s">
        <v>1952</v>
      </c>
      <c r="C140" s="144" t="s">
        <v>1942</v>
      </c>
      <c r="D140" s="146" t="s">
        <v>1959</v>
      </c>
      <c r="E140" s="146" t="s">
        <v>1961</v>
      </c>
      <c r="F140" s="146" t="s">
        <v>1949</v>
      </c>
      <c r="G140" s="146" t="s">
        <v>1950</v>
      </c>
      <c r="H140" s="146">
        <v>0.41599999999999998</v>
      </c>
      <c r="I140" s="146">
        <v>8.2000000000000007E-3</v>
      </c>
      <c r="J140" s="147">
        <v>2.9000000000000001E-2</v>
      </c>
    </row>
    <row r="141" spans="2:10" ht="15" customHeight="1" x14ac:dyDescent="0.35">
      <c r="B141" s="157" t="s">
        <v>1952</v>
      </c>
      <c r="C141" s="144" t="s">
        <v>1942</v>
      </c>
      <c r="D141" s="146" t="s">
        <v>1962</v>
      </c>
      <c r="E141" s="146" t="s">
        <v>1960</v>
      </c>
      <c r="F141" s="146" t="s">
        <v>1949</v>
      </c>
      <c r="G141" s="146" t="s">
        <v>1950</v>
      </c>
      <c r="H141" s="146">
        <v>-7.9999999999999898E-3</v>
      </c>
      <c r="I141" s="146">
        <v>0.52900000000000003</v>
      </c>
      <c r="J141" s="147">
        <v>0.77814285714285703</v>
      </c>
    </row>
    <row r="142" spans="2:10" ht="15" customHeight="1" x14ac:dyDescent="0.35">
      <c r="B142" s="157" t="s">
        <v>1952</v>
      </c>
      <c r="C142" s="144" t="s">
        <v>1942</v>
      </c>
      <c r="D142" s="146" t="s">
        <v>1962</v>
      </c>
      <c r="E142" s="146" t="s">
        <v>1961</v>
      </c>
      <c r="F142" s="146" t="s">
        <v>1949</v>
      </c>
      <c r="G142" s="146" t="s">
        <v>1950</v>
      </c>
      <c r="H142" s="146">
        <v>0.376</v>
      </c>
      <c r="I142" s="146">
        <v>1.7999999999999999E-2</v>
      </c>
      <c r="J142" s="147">
        <v>3.6999999999999998E-2</v>
      </c>
    </row>
    <row r="143" spans="2:10" ht="15" customHeight="1" x14ac:dyDescent="0.35">
      <c r="B143" s="157" t="s">
        <v>1952</v>
      </c>
      <c r="C143" s="144" t="s">
        <v>1942</v>
      </c>
      <c r="D143" s="146" t="s">
        <v>1960</v>
      </c>
      <c r="E143" s="146" t="s">
        <v>1961</v>
      </c>
      <c r="F143" s="146" t="s">
        <v>1949</v>
      </c>
      <c r="G143" s="146" t="s">
        <v>1950</v>
      </c>
      <c r="H143" s="146">
        <v>0.61599999999999999</v>
      </c>
      <c r="I143" s="146">
        <v>7.4999999999999997E-3</v>
      </c>
      <c r="J143" s="147">
        <v>2.9000000000000001E-2</v>
      </c>
    </row>
    <row r="144" spans="2:10" ht="15" customHeight="1" x14ac:dyDescent="0.35">
      <c r="B144" s="157" t="s">
        <v>1952</v>
      </c>
      <c r="C144" s="144" t="s">
        <v>1942</v>
      </c>
      <c r="D144" s="144" t="s">
        <v>1958</v>
      </c>
      <c r="E144" s="144" t="s">
        <v>1959</v>
      </c>
      <c r="F144" s="144" t="s">
        <v>1951</v>
      </c>
      <c r="G144" s="144" t="s">
        <v>1514</v>
      </c>
      <c r="H144" s="144">
        <v>-0.15796203346620799</v>
      </c>
      <c r="I144" s="144">
        <v>1</v>
      </c>
      <c r="J144" s="145">
        <v>1</v>
      </c>
    </row>
    <row r="145" spans="2:10" ht="15" customHeight="1" x14ac:dyDescent="0.35">
      <c r="B145" s="157" t="s">
        <v>1952</v>
      </c>
      <c r="C145" s="144" t="s">
        <v>1942</v>
      </c>
      <c r="D145" s="144" t="s">
        <v>1958</v>
      </c>
      <c r="E145" s="144" t="s">
        <v>1962</v>
      </c>
      <c r="F145" s="144" t="s">
        <v>1951</v>
      </c>
      <c r="G145" s="144" t="s">
        <v>1514</v>
      </c>
      <c r="H145" s="144">
        <v>0.237878223198769</v>
      </c>
      <c r="I145" s="144">
        <v>7.3000000000000001E-3</v>
      </c>
      <c r="J145" s="145">
        <v>0.03</v>
      </c>
    </row>
    <row r="146" spans="2:10" ht="15" customHeight="1" x14ac:dyDescent="0.35">
      <c r="B146" s="157" t="s">
        <v>1952</v>
      </c>
      <c r="C146" s="144" t="s">
        <v>1942</v>
      </c>
      <c r="D146" s="144" t="s">
        <v>1958</v>
      </c>
      <c r="E146" s="144" t="s">
        <v>1960</v>
      </c>
      <c r="F146" s="144" t="s">
        <v>1951</v>
      </c>
      <c r="G146" s="144" t="s">
        <v>1514</v>
      </c>
      <c r="H146" s="144">
        <v>-0.19766578979798</v>
      </c>
      <c r="I146" s="144">
        <v>1</v>
      </c>
      <c r="J146" s="145">
        <v>1</v>
      </c>
    </row>
    <row r="147" spans="2:10" ht="15" customHeight="1" x14ac:dyDescent="0.35">
      <c r="B147" s="157" t="s">
        <v>1952</v>
      </c>
      <c r="C147" s="144" t="s">
        <v>1942</v>
      </c>
      <c r="D147" s="144" t="s">
        <v>1958</v>
      </c>
      <c r="E147" s="144" t="s">
        <v>1961</v>
      </c>
      <c r="F147" s="144" t="s">
        <v>1951</v>
      </c>
      <c r="G147" s="144" t="s">
        <v>1514</v>
      </c>
      <c r="H147" s="144">
        <v>-5.5917802347492197E-2</v>
      </c>
      <c r="I147" s="144">
        <v>0.80679999999999996</v>
      </c>
      <c r="J147" s="145">
        <v>0.995</v>
      </c>
    </row>
    <row r="148" spans="2:10" ht="15" customHeight="1" x14ac:dyDescent="0.35">
      <c r="B148" s="157" t="s">
        <v>1952</v>
      </c>
      <c r="C148" s="144" t="s">
        <v>1942</v>
      </c>
      <c r="D148" s="144" t="s">
        <v>1959</v>
      </c>
      <c r="E148" s="144" t="s">
        <v>1962</v>
      </c>
      <c r="F148" s="144" t="s">
        <v>1951</v>
      </c>
      <c r="G148" s="144" t="s">
        <v>1514</v>
      </c>
      <c r="H148" s="144">
        <v>3.7184949629870998E-2</v>
      </c>
      <c r="I148" s="144">
        <v>0.17449999999999999</v>
      </c>
      <c r="J148" s="145">
        <v>0.289833333333333</v>
      </c>
    </row>
    <row r="149" spans="2:10" ht="15" customHeight="1" x14ac:dyDescent="0.35">
      <c r="B149" s="157" t="s">
        <v>1952</v>
      </c>
      <c r="C149" s="144" t="s">
        <v>1942</v>
      </c>
      <c r="D149" s="144" t="s">
        <v>1959</v>
      </c>
      <c r="E149" s="144" t="s">
        <v>1960</v>
      </c>
      <c r="F149" s="144" t="s">
        <v>1951</v>
      </c>
      <c r="G149" s="144" t="s">
        <v>1514</v>
      </c>
      <c r="H149" s="144">
        <v>3.3187999325342901E-2</v>
      </c>
      <c r="I149" s="144">
        <v>0.1484</v>
      </c>
      <c r="J149" s="145">
        <v>0.28079999999999999</v>
      </c>
    </row>
    <row r="150" spans="2:10" ht="15" customHeight="1" x14ac:dyDescent="0.35">
      <c r="B150" s="157" t="s">
        <v>1952</v>
      </c>
      <c r="C150" s="144" t="s">
        <v>1942</v>
      </c>
      <c r="D150" s="144" t="s">
        <v>1959</v>
      </c>
      <c r="E150" s="144" t="s">
        <v>1961</v>
      </c>
      <c r="F150" s="144" t="s">
        <v>1951</v>
      </c>
      <c r="G150" s="144" t="s">
        <v>1514</v>
      </c>
      <c r="H150" s="144">
        <v>0.13427048120339799</v>
      </c>
      <c r="I150" s="144">
        <v>6.4999999999999997E-3</v>
      </c>
      <c r="J150" s="145">
        <v>0.03</v>
      </c>
    </row>
    <row r="151" spans="2:10" ht="15" customHeight="1" x14ac:dyDescent="0.35">
      <c r="B151" s="157" t="s">
        <v>1952</v>
      </c>
      <c r="C151" s="144" t="s">
        <v>1942</v>
      </c>
      <c r="D151" s="144" t="s">
        <v>1962</v>
      </c>
      <c r="E151" s="144" t="s">
        <v>1960</v>
      </c>
      <c r="F151" s="144" t="s">
        <v>1951</v>
      </c>
      <c r="G151" s="144" t="s">
        <v>1514</v>
      </c>
      <c r="H151" s="144">
        <v>1.9396525169595901E-2</v>
      </c>
      <c r="I151" s="144">
        <v>0.26250000000000001</v>
      </c>
      <c r="J151" s="145">
        <v>0.376857142857143</v>
      </c>
    </row>
    <row r="152" spans="2:10" ht="15" customHeight="1" x14ac:dyDescent="0.35">
      <c r="B152" s="157" t="s">
        <v>1952</v>
      </c>
      <c r="C152" s="144" t="s">
        <v>1942</v>
      </c>
      <c r="D152" s="144" t="s">
        <v>1962</v>
      </c>
      <c r="E152" s="144" t="s">
        <v>1961</v>
      </c>
      <c r="F152" s="144" t="s">
        <v>1951</v>
      </c>
      <c r="G152" s="144" t="s">
        <v>1514</v>
      </c>
      <c r="H152" s="144">
        <v>0.169379351932195</v>
      </c>
      <c r="I152" s="144">
        <v>1.7600000000000001E-2</v>
      </c>
      <c r="J152" s="145">
        <v>3.95E-2</v>
      </c>
    </row>
    <row r="153" spans="2:10" ht="15" customHeight="1" x14ac:dyDescent="0.35">
      <c r="B153" s="157" t="s">
        <v>1952</v>
      </c>
      <c r="C153" s="144" t="s">
        <v>1942</v>
      </c>
      <c r="D153" s="144" t="s">
        <v>1960</v>
      </c>
      <c r="E153" s="144" t="s">
        <v>1961</v>
      </c>
      <c r="F153" s="144" t="s">
        <v>1951</v>
      </c>
      <c r="G153" s="144" t="s">
        <v>1514</v>
      </c>
      <c r="H153" s="144">
        <v>0.15609324894167301</v>
      </c>
      <c r="I153" s="144">
        <v>9.1000000000000004E-3</v>
      </c>
      <c r="J153" s="145">
        <v>0.03</v>
      </c>
    </row>
    <row r="154" spans="2:10" ht="15" customHeight="1" x14ac:dyDescent="0.35">
      <c r="B154" s="157" t="s">
        <v>1952</v>
      </c>
      <c r="C154" s="144" t="s">
        <v>1943</v>
      </c>
      <c r="D154" s="146" t="s">
        <v>1958</v>
      </c>
      <c r="E154" s="146" t="s">
        <v>1959</v>
      </c>
      <c r="F154" s="146" t="s">
        <v>1948</v>
      </c>
      <c r="G154" s="146" t="s">
        <v>1972</v>
      </c>
      <c r="H154" s="146">
        <v>0.908985486629592</v>
      </c>
      <c r="I154" s="146">
        <v>7.4999999999999997E-3</v>
      </c>
      <c r="J154" s="147">
        <v>1.4666666666666699E-2</v>
      </c>
    </row>
    <row r="155" spans="2:10" ht="15" customHeight="1" x14ac:dyDescent="0.35">
      <c r="B155" s="157" t="s">
        <v>1952</v>
      </c>
      <c r="C155" s="144" t="s">
        <v>1943</v>
      </c>
      <c r="D155" s="146" t="s">
        <v>1958</v>
      </c>
      <c r="E155" s="146" t="s">
        <v>1962</v>
      </c>
      <c r="F155" s="146" t="s">
        <v>1948</v>
      </c>
      <c r="G155" s="146" t="s">
        <v>1972</v>
      </c>
      <c r="H155" s="146">
        <v>0.62116401529204601</v>
      </c>
      <c r="I155" s="146">
        <v>1.54E-2</v>
      </c>
      <c r="J155" s="147">
        <v>2.2499999999999999E-2</v>
      </c>
    </row>
    <row r="156" spans="2:10" ht="15" customHeight="1" x14ac:dyDescent="0.35">
      <c r="B156" s="157" t="s">
        <v>1952</v>
      </c>
      <c r="C156" s="144" t="s">
        <v>1943</v>
      </c>
      <c r="D156" s="146" t="s">
        <v>1958</v>
      </c>
      <c r="E156" s="146" t="s">
        <v>1960</v>
      </c>
      <c r="F156" s="146" t="s">
        <v>1948</v>
      </c>
      <c r="G156" s="146" t="s">
        <v>1972</v>
      </c>
      <c r="H156" s="146">
        <v>0.93642682849775405</v>
      </c>
      <c r="I156" s="146">
        <v>7.7999999999999996E-3</v>
      </c>
      <c r="J156" s="147">
        <v>1.4666666666666699E-2</v>
      </c>
    </row>
    <row r="157" spans="2:10" ht="15" customHeight="1" x14ac:dyDescent="0.35">
      <c r="B157" s="157" t="s">
        <v>1952</v>
      </c>
      <c r="C157" s="144" t="s">
        <v>1943</v>
      </c>
      <c r="D157" s="146" t="s">
        <v>1958</v>
      </c>
      <c r="E157" s="146" t="s">
        <v>1961</v>
      </c>
      <c r="F157" s="146" t="s">
        <v>1948</v>
      </c>
      <c r="G157" s="146" t="s">
        <v>1972</v>
      </c>
      <c r="H157" s="146">
        <v>0.85245182368514605</v>
      </c>
      <c r="I157" s="146">
        <v>8.0000000000000002E-3</v>
      </c>
      <c r="J157" s="147">
        <v>1.4666666666666699E-2</v>
      </c>
    </row>
    <row r="158" spans="2:10" ht="15" customHeight="1" x14ac:dyDescent="0.35">
      <c r="B158" s="157" t="s">
        <v>1952</v>
      </c>
      <c r="C158" s="144" t="s">
        <v>1943</v>
      </c>
      <c r="D158" s="146" t="s">
        <v>1959</v>
      </c>
      <c r="E158" s="146" t="s">
        <v>1962</v>
      </c>
      <c r="F158" s="146" t="s">
        <v>1948</v>
      </c>
      <c r="G158" s="146" t="s">
        <v>1972</v>
      </c>
      <c r="H158" s="146">
        <v>0.473644304410622</v>
      </c>
      <c r="I158" s="146">
        <v>9.1000000000000004E-3</v>
      </c>
      <c r="J158" s="147">
        <v>1.4666666666666699E-2</v>
      </c>
    </row>
    <row r="159" spans="2:10" ht="15" customHeight="1" x14ac:dyDescent="0.35">
      <c r="B159" s="157" t="s">
        <v>1952</v>
      </c>
      <c r="C159" s="144" t="s">
        <v>1943</v>
      </c>
      <c r="D159" s="146" t="s">
        <v>1959</v>
      </c>
      <c r="E159" s="146" t="s">
        <v>1960</v>
      </c>
      <c r="F159" s="146" t="s">
        <v>1948</v>
      </c>
      <c r="G159" s="146" t="s">
        <v>1972</v>
      </c>
      <c r="H159" s="146">
        <v>0.69435442720521701</v>
      </c>
      <c r="I159" s="146">
        <v>1.5599999999999999E-2</v>
      </c>
      <c r="J159" s="147">
        <v>2.2499999999999999E-2</v>
      </c>
    </row>
    <row r="160" spans="2:10" ht="15" customHeight="1" x14ac:dyDescent="0.35">
      <c r="B160" s="157" t="s">
        <v>1952</v>
      </c>
      <c r="C160" s="144" t="s">
        <v>1943</v>
      </c>
      <c r="D160" s="146" t="s">
        <v>1959</v>
      </c>
      <c r="E160" s="146" t="s">
        <v>1961</v>
      </c>
      <c r="F160" s="146" t="s">
        <v>1948</v>
      </c>
      <c r="G160" s="146" t="s">
        <v>1972</v>
      </c>
      <c r="H160" s="146">
        <v>0.21681700125596401</v>
      </c>
      <c r="I160" s="146">
        <v>0.17810000000000001</v>
      </c>
      <c r="J160" s="147">
        <v>0.210222222222222</v>
      </c>
    </row>
    <row r="161" spans="2:10" ht="15" customHeight="1" x14ac:dyDescent="0.35">
      <c r="B161" s="157" t="s">
        <v>1952</v>
      </c>
      <c r="C161" s="144" t="s">
        <v>1943</v>
      </c>
      <c r="D161" s="146" t="s">
        <v>1962</v>
      </c>
      <c r="E161" s="146" t="s">
        <v>1960</v>
      </c>
      <c r="F161" s="146" t="s">
        <v>1948</v>
      </c>
      <c r="G161" s="146" t="s">
        <v>1972</v>
      </c>
      <c r="H161" s="146">
        <v>0.73398679070863804</v>
      </c>
      <c r="I161" s="146">
        <v>8.0999999999999996E-3</v>
      </c>
      <c r="J161" s="147">
        <v>1.4666666666666699E-2</v>
      </c>
    </row>
    <row r="162" spans="2:10" ht="15" customHeight="1" x14ac:dyDescent="0.35">
      <c r="B162" s="157" t="s">
        <v>1952</v>
      </c>
      <c r="C162" s="144" t="s">
        <v>1943</v>
      </c>
      <c r="D162" s="146" t="s">
        <v>1962</v>
      </c>
      <c r="E162" s="146" t="s">
        <v>1961</v>
      </c>
      <c r="F162" s="146" t="s">
        <v>1948</v>
      </c>
      <c r="G162" s="146" t="s">
        <v>1972</v>
      </c>
      <c r="H162" s="146">
        <v>0.52130709119440599</v>
      </c>
      <c r="I162" s="146">
        <v>8.3000000000000001E-3</v>
      </c>
      <c r="J162" s="147">
        <v>1.4666666666666699E-2</v>
      </c>
    </row>
    <row r="163" spans="2:10" ht="15" customHeight="1" x14ac:dyDescent="0.35">
      <c r="B163" s="157" t="s">
        <v>1952</v>
      </c>
      <c r="C163" s="144" t="s">
        <v>1943</v>
      </c>
      <c r="D163" s="146" t="s">
        <v>1960</v>
      </c>
      <c r="E163" s="146" t="s">
        <v>1961</v>
      </c>
      <c r="F163" s="146" t="s">
        <v>1948</v>
      </c>
      <c r="G163" s="146" t="s">
        <v>1972</v>
      </c>
      <c r="H163" s="146">
        <v>-1.9901778415462299E-3</v>
      </c>
      <c r="I163" s="146">
        <v>0.83819999999999995</v>
      </c>
      <c r="J163" s="147">
        <v>0.84160000000000001</v>
      </c>
    </row>
    <row r="164" spans="2:10" ht="15" customHeight="1" x14ac:dyDescent="0.35">
      <c r="B164" s="157" t="s">
        <v>1952</v>
      </c>
      <c r="C164" s="144" t="s">
        <v>1943</v>
      </c>
      <c r="D164" s="144" t="s">
        <v>1958</v>
      </c>
      <c r="E164" s="144" t="s">
        <v>1959</v>
      </c>
      <c r="F164" s="144" t="s">
        <v>1949</v>
      </c>
      <c r="G164" s="144" t="s">
        <v>1950</v>
      </c>
      <c r="H164" s="144">
        <v>1</v>
      </c>
      <c r="I164" s="144">
        <v>6.7999999999999996E-3</v>
      </c>
      <c r="J164" s="145">
        <v>1.6E-2</v>
      </c>
    </row>
    <row r="165" spans="2:10" ht="15" customHeight="1" x14ac:dyDescent="0.35">
      <c r="B165" s="157" t="s">
        <v>1952</v>
      </c>
      <c r="C165" s="144" t="s">
        <v>1943</v>
      </c>
      <c r="D165" s="144" t="s">
        <v>1958</v>
      </c>
      <c r="E165" s="144" t="s">
        <v>1962</v>
      </c>
      <c r="F165" s="144" t="s">
        <v>1949</v>
      </c>
      <c r="G165" s="144" t="s">
        <v>1950</v>
      </c>
      <c r="H165" s="144">
        <v>0.63600000000000001</v>
      </c>
      <c r="I165" s="144">
        <v>1.61E-2</v>
      </c>
      <c r="J165" s="145">
        <v>2.1000000000000001E-2</v>
      </c>
    </row>
    <row r="166" spans="2:10" ht="15" customHeight="1" x14ac:dyDescent="0.35">
      <c r="B166" s="157" t="s">
        <v>1952</v>
      </c>
      <c r="C166" s="144" t="s">
        <v>1943</v>
      </c>
      <c r="D166" s="144" t="s">
        <v>1958</v>
      </c>
      <c r="E166" s="144" t="s">
        <v>1960</v>
      </c>
      <c r="F166" s="144" t="s">
        <v>1949</v>
      </c>
      <c r="G166" s="144" t="s">
        <v>1950</v>
      </c>
      <c r="H166" s="144">
        <v>1</v>
      </c>
      <c r="I166" s="144">
        <v>7.1999999999999998E-3</v>
      </c>
      <c r="J166" s="145">
        <v>1.6E-2</v>
      </c>
    </row>
    <row r="167" spans="2:10" ht="15" customHeight="1" x14ac:dyDescent="0.35">
      <c r="B167" s="157" t="s">
        <v>1952</v>
      </c>
      <c r="C167" s="144" t="s">
        <v>1943</v>
      </c>
      <c r="D167" s="144" t="s">
        <v>1958</v>
      </c>
      <c r="E167" s="144" t="s">
        <v>1961</v>
      </c>
      <c r="F167" s="144" t="s">
        <v>1949</v>
      </c>
      <c r="G167" s="144" t="s">
        <v>1950</v>
      </c>
      <c r="H167" s="144">
        <v>0.98799999999999999</v>
      </c>
      <c r="I167" s="144">
        <v>8.6999999999999994E-3</v>
      </c>
      <c r="J167" s="145">
        <v>1.6E-2</v>
      </c>
    </row>
    <row r="168" spans="2:10" ht="15" customHeight="1" x14ac:dyDescent="0.35">
      <c r="B168" s="157" t="s">
        <v>1952</v>
      </c>
      <c r="C168" s="144" t="s">
        <v>1943</v>
      </c>
      <c r="D168" s="144" t="s">
        <v>1959</v>
      </c>
      <c r="E168" s="144" t="s">
        <v>1962</v>
      </c>
      <c r="F168" s="144" t="s">
        <v>1949</v>
      </c>
      <c r="G168" s="144" t="s">
        <v>1950</v>
      </c>
      <c r="H168" s="144">
        <v>0.4</v>
      </c>
      <c r="I168" s="144">
        <v>9.5999999999999992E-3</v>
      </c>
      <c r="J168" s="145">
        <v>1.6E-2</v>
      </c>
    </row>
    <row r="169" spans="2:10" ht="15" customHeight="1" x14ac:dyDescent="0.35">
      <c r="B169" s="157" t="s">
        <v>1952</v>
      </c>
      <c r="C169" s="144" t="s">
        <v>1943</v>
      </c>
      <c r="D169" s="144" t="s">
        <v>1959</v>
      </c>
      <c r="E169" s="144" t="s">
        <v>1960</v>
      </c>
      <c r="F169" s="144" t="s">
        <v>1949</v>
      </c>
      <c r="G169" s="144" t="s">
        <v>1950</v>
      </c>
      <c r="H169" s="144">
        <v>0.67600000000000005</v>
      </c>
      <c r="I169" s="144">
        <v>1.6E-2</v>
      </c>
      <c r="J169" s="145">
        <v>2.1000000000000001E-2</v>
      </c>
    </row>
    <row r="170" spans="2:10" ht="15" customHeight="1" x14ac:dyDescent="0.35">
      <c r="B170" s="157" t="s">
        <v>1952</v>
      </c>
      <c r="C170" s="144" t="s">
        <v>1943</v>
      </c>
      <c r="D170" s="144" t="s">
        <v>1959</v>
      </c>
      <c r="E170" s="144" t="s">
        <v>1961</v>
      </c>
      <c r="F170" s="144" t="s">
        <v>1949</v>
      </c>
      <c r="G170" s="144" t="s">
        <v>1950</v>
      </c>
      <c r="H170" s="144">
        <v>0.112</v>
      </c>
      <c r="I170" s="144">
        <v>0.188</v>
      </c>
      <c r="J170" s="145">
        <v>0.21933333333333299</v>
      </c>
    </row>
    <row r="171" spans="2:10" ht="15" customHeight="1" x14ac:dyDescent="0.35">
      <c r="B171" s="157" t="s">
        <v>1952</v>
      </c>
      <c r="C171" s="144" t="s">
        <v>1943</v>
      </c>
      <c r="D171" s="144" t="s">
        <v>1962</v>
      </c>
      <c r="E171" s="144" t="s">
        <v>1960</v>
      </c>
      <c r="F171" s="144" t="s">
        <v>1949</v>
      </c>
      <c r="G171" s="144" t="s">
        <v>1950</v>
      </c>
      <c r="H171" s="144">
        <v>0.84</v>
      </c>
      <c r="I171" s="144">
        <v>8.3000000000000001E-3</v>
      </c>
      <c r="J171" s="145">
        <v>1.6E-2</v>
      </c>
    </row>
    <row r="172" spans="2:10" ht="15" customHeight="1" x14ac:dyDescent="0.35">
      <c r="B172" s="157" t="s">
        <v>1952</v>
      </c>
      <c r="C172" s="144" t="s">
        <v>1943</v>
      </c>
      <c r="D172" s="144" t="s">
        <v>1962</v>
      </c>
      <c r="E172" s="144" t="s">
        <v>1961</v>
      </c>
      <c r="F172" s="144" t="s">
        <v>1949</v>
      </c>
      <c r="G172" s="144" t="s">
        <v>1950</v>
      </c>
      <c r="H172" s="144">
        <v>0.42799999999999999</v>
      </c>
      <c r="I172" s="144">
        <v>6.4999999999999997E-3</v>
      </c>
      <c r="J172" s="145">
        <v>1.6E-2</v>
      </c>
    </row>
    <row r="173" spans="2:10" ht="15" customHeight="1" x14ac:dyDescent="0.35">
      <c r="B173" s="157" t="s">
        <v>1952</v>
      </c>
      <c r="C173" s="144" t="s">
        <v>1943</v>
      </c>
      <c r="D173" s="144" t="s">
        <v>1960</v>
      </c>
      <c r="E173" s="144" t="s">
        <v>1961</v>
      </c>
      <c r="F173" s="144" t="s">
        <v>1949</v>
      </c>
      <c r="G173" s="144" t="s">
        <v>1950</v>
      </c>
      <c r="H173" s="144">
        <v>-4.8000000000000098E-2</v>
      </c>
      <c r="I173" s="144">
        <v>0.53839999999999999</v>
      </c>
      <c r="J173" s="145">
        <v>0.53749999999999998</v>
      </c>
    </row>
    <row r="174" spans="2:10" ht="15" customHeight="1" x14ac:dyDescent="0.35">
      <c r="B174" s="157" t="s">
        <v>1952</v>
      </c>
      <c r="C174" s="144" t="s">
        <v>1943</v>
      </c>
      <c r="D174" s="146" t="s">
        <v>1958</v>
      </c>
      <c r="E174" s="146" t="s">
        <v>1959</v>
      </c>
      <c r="F174" s="146" t="s">
        <v>1951</v>
      </c>
      <c r="G174" s="146" t="s">
        <v>1514</v>
      </c>
      <c r="H174" s="146">
        <v>0.68581273538532905</v>
      </c>
      <c r="I174" s="146">
        <v>8.8999999999999999E-3</v>
      </c>
      <c r="J174" s="147">
        <v>1.6833333333333301E-2</v>
      </c>
    </row>
    <row r="175" spans="2:10" ht="15" customHeight="1" x14ac:dyDescent="0.35">
      <c r="B175" s="157" t="s">
        <v>1952</v>
      </c>
      <c r="C175" s="144" t="s">
        <v>1943</v>
      </c>
      <c r="D175" s="146" t="s">
        <v>1958</v>
      </c>
      <c r="E175" s="146" t="s">
        <v>1962</v>
      </c>
      <c r="F175" s="146" t="s">
        <v>1951</v>
      </c>
      <c r="G175" s="146" t="s">
        <v>1514</v>
      </c>
      <c r="H175" s="146">
        <v>0.36733906227360902</v>
      </c>
      <c r="I175" s="146">
        <v>1.5299999999999999E-2</v>
      </c>
      <c r="J175" s="147">
        <v>2.1125000000000001E-2</v>
      </c>
    </row>
    <row r="176" spans="2:10" ht="15" customHeight="1" x14ac:dyDescent="0.35">
      <c r="B176" s="157" t="s">
        <v>1952</v>
      </c>
      <c r="C176" s="144" t="s">
        <v>1943</v>
      </c>
      <c r="D176" s="146" t="s">
        <v>1958</v>
      </c>
      <c r="E176" s="146" t="s">
        <v>1960</v>
      </c>
      <c r="F176" s="146" t="s">
        <v>1951</v>
      </c>
      <c r="G176" s="146" t="s">
        <v>1514</v>
      </c>
      <c r="H176" s="146">
        <v>0.72750769265786996</v>
      </c>
      <c r="I176" s="146">
        <v>8.6E-3</v>
      </c>
      <c r="J176" s="147">
        <v>1.6833333333333301E-2</v>
      </c>
    </row>
    <row r="177" spans="2:10" ht="15" customHeight="1" x14ac:dyDescent="0.35">
      <c r="B177" s="157" t="s">
        <v>1952</v>
      </c>
      <c r="C177" s="144" t="s">
        <v>1943</v>
      </c>
      <c r="D177" s="146" t="s">
        <v>1958</v>
      </c>
      <c r="E177" s="146" t="s">
        <v>1961</v>
      </c>
      <c r="F177" s="146" t="s">
        <v>1951</v>
      </c>
      <c r="G177" s="146" t="s">
        <v>1514</v>
      </c>
      <c r="H177" s="146">
        <v>0.58541529546806204</v>
      </c>
      <c r="I177" s="146">
        <v>7.7999999999999996E-3</v>
      </c>
      <c r="J177" s="147">
        <v>1.6833333333333301E-2</v>
      </c>
    </row>
    <row r="178" spans="2:10" ht="15" customHeight="1" x14ac:dyDescent="0.35">
      <c r="B178" s="157" t="s">
        <v>1952</v>
      </c>
      <c r="C178" s="144" t="s">
        <v>1943</v>
      </c>
      <c r="D178" s="146" t="s">
        <v>1959</v>
      </c>
      <c r="E178" s="146" t="s">
        <v>1962</v>
      </c>
      <c r="F178" s="146" t="s">
        <v>1951</v>
      </c>
      <c r="G178" s="146" t="s">
        <v>1514</v>
      </c>
      <c r="H178" s="146">
        <v>0.26998028763439202</v>
      </c>
      <c r="I178" s="146">
        <v>7.4000000000000003E-3</v>
      </c>
      <c r="J178" s="147">
        <v>1.6833333333333301E-2</v>
      </c>
    </row>
    <row r="179" spans="2:10" ht="15" customHeight="1" x14ac:dyDescent="0.35">
      <c r="B179" s="157" t="s">
        <v>1952</v>
      </c>
      <c r="C179" s="144" t="s">
        <v>1943</v>
      </c>
      <c r="D179" s="146" t="s">
        <v>1959</v>
      </c>
      <c r="E179" s="146" t="s">
        <v>1960</v>
      </c>
      <c r="F179" s="146" t="s">
        <v>1951</v>
      </c>
      <c r="G179" s="146" t="s">
        <v>1514</v>
      </c>
      <c r="H179" s="146">
        <v>0.41384244866133602</v>
      </c>
      <c r="I179" s="146">
        <v>1.3599999999999999E-2</v>
      </c>
      <c r="J179" s="147">
        <v>2.1125000000000001E-2</v>
      </c>
    </row>
    <row r="180" spans="2:10" ht="15" customHeight="1" x14ac:dyDescent="0.35">
      <c r="B180" s="157" t="s">
        <v>1952</v>
      </c>
      <c r="C180" s="144" t="s">
        <v>1943</v>
      </c>
      <c r="D180" s="146" t="s">
        <v>1959</v>
      </c>
      <c r="E180" s="146" t="s">
        <v>1961</v>
      </c>
      <c r="F180" s="146" t="s">
        <v>1951</v>
      </c>
      <c r="G180" s="146" t="s">
        <v>1514</v>
      </c>
      <c r="H180" s="146">
        <v>8.0339658242607498E-2</v>
      </c>
      <c r="I180" s="146">
        <v>0.19700000000000001</v>
      </c>
      <c r="J180" s="147">
        <v>0.20655555555555599</v>
      </c>
    </row>
    <row r="181" spans="2:10" ht="15" customHeight="1" x14ac:dyDescent="0.35">
      <c r="B181" s="157" t="s">
        <v>1952</v>
      </c>
      <c r="C181" s="144" t="s">
        <v>1943</v>
      </c>
      <c r="D181" s="146" t="s">
        <v>1962</v>
      </c>
      <c r="E181" s="146" t="s">
        <v>1960</v>
      </c>
      <c r="F181" s="146" t="s">
        <v>1951</v>
      </c>
      <c r="G181" s="146" t="s">
        <v>1514</v>
      </c>
      <c r="H181" s="146">
        <v>0.497157746069669</v>
      </c>
      <c r="I181" s="146">
        <v>7.7999999999999996E-3</v>
      </c>
      <c r="J181" s="147">
        <v>1.6833333333333301E-2</v>
      </c>
    </row>
    <row r="182" spans="2:10" ht="15" customHeight="1" x14ac:dyDescent="0.35">
      <c r="B182" s="157" t="s">
        <v>1952</v>
      </c>
      <c r="C182" s="144" t="s">
        <v>1943</v>
      </c>
      <c r="D182" s="146" t="s">
        <v>1962</v>
      </c>
      <c r="E182" s="146" t="s">
        <v>1961</v>
      </c>
      <c r="F182" s="146" t="s">
        <v>1951</v>
      </c>
      <c r="G182" s="146" t="s">
        <v>1514</v>
      </c>
      <c r="H182" s="146">
        <v>0.26072777387024798</v>
      </c>
      <c r="I182" s="146">
        <v>7.9000000000000008E-3</v>
      </c>
      <c r="J182" s="147">
        <v>1.6833333333333301E-2</v>
      </c>
    </row>
    <row r="183" spans="2:10" ht="15" customHeight="1" x14ac:dyDescent="0.35">
      <c r="B183" s="157" t="s">
        <v>1952</v>
      </c>
      <c r="C183" s="144" t="s">
        <v>1943</v>
      </c>
      <c r="D183" s="146" t="s">
        <v>1960</v>
      </c>
      <c r="E183" s="146" t="s">
        <v>1961</v>
      </c>
      <c r="F183" s="146" t="s">
        <v>1951</v>
      </c>
      <c r="G183" s="146" t="s">
        <v>1514</v>
      </c>
      <c r="H183" s="146">
        <v>-5.3263781906249801E-2</v>
      </c>
      <c r="I183" s="146">
        <v>0.67149999999999999</v>
      </c>
      <c r="J183" s="147">
        <v>0.67149999999999999</v>
      </c>
    </row>
    <row r="184" spans="2:10" ht="15" customHeight="1" x14ac:dyDescent="0.35">
      <c r="B184" s="158" t="s">
        <v>1953</v>
      </c>
      <c r="C184" s="144" t="s">
        <v>1947</v>
      </c>
      <c r="D184" s="144" t="s">
        <v>1958</v>
      </c>
      <c r="E184" s="144" t="s">
        <v>1959</v>
      </c>
      <c r="F184" s="144" t="s">
        <v>1948</v>
      </c>
      <c r="G184" s="144" t="s">
        <v>1972</v>
      </c>
      <c r="H184" s="144">
        <v>0.57839646604281703</v>
      </c>
      <c r="I184" s="144">
        <v>8.2000000000000007E-3</v>
      </c>
      <c r="J184" s="145">
        <v>1.4142857142857099E-2</v>
      </c>
    </row>
    <row r="185" spans="2:10" ht="15" customHeight="1" x14ac:dyDescent="0.35">
      <c r="B185" s="158" t="s">
        <v>1953</v>
      </c>
      <c r="C185" s="144" t="s">
        <v>1947</v>
      </c>
      <c r="D185" s="144" t="s">
        <v>1958</v>
      </c>
      <c r="E185" s="144" t="s">
        <v>1962</v>
      </c>
      <c r="F185" s="144" t="s">
        <v>1948</v>
      </c>
      <c r="G185" s="144" t="s">
        <v>1972</v>
      </c>
      <c r="H185" s="144">
        <v>0.71259502547812503</v>
      </c>
      <c r="I185" s="144">
        <v>8.8999999999999999E-3</v>
      </c>
      <c r="J185" s="145">
        <v>1.4142857142857099E-2</v>
      </c>
    </row>
    <row r="186" spans="2:10" ht="15" customHeight="1" x14ac:dyDescent="0.35">
      <c r="B186" s="158" t="s">
        <v>1953</v>
      </c>
      <c r="C186" s="144" t="s">
        <v>1947</v>
      </c>
      <c r="D186" s="144" t="s">
        <v>1958</v>
      </c>
      <c r="E186" s="144" t="s">
        <v>1960</v>
      </c>
      <c r="F186" s="144" t="s">
        <v>1948</v>
      </c>
      <c r="G186" s="144" t="s">
        <v>1972</v>
      </c>
      <c r="H186" s="144">
        <v>0.596022953887406</v>
      </c>
      <c r="I186" s="144">
        <v>8.8999999999999999E-3</v>
      </c>
      <c r="J186" s="145">
        <v>1.4142857142857099E-2</v>
      </c>
    </row>
    <row r="187" spans="2:10" ht="15" customHeight="1" x14ac:dyDescent="0.35">
      <c r="B187" s="158" t="s">
        <v>1953</v>
      </c>
      <c r="C187" s="144" t="s">
        <v>1947</v>
      </c>
      <c r="D187" s="144" t="s">
        <v>1958</v>
      </c>
      <c r="E187" s="144" t="s">
        <v>1961</v>
      </c>
      <c r="F187" s="144" t="s">
        <v>1948</v>
      </c>
      <c r="G187" s="144" t="s">
        <v>1972</v>
      </c>
      <c r="H187" s="144">
        <v>0.51334249729748804</v>
      </c>
      <c r="I187" s="144">
        <v>8.0000000000000002E-3</v>
      </c>
      <c r="J187" s="145">
        <v>1.4142857142857099E-2</v>
      </c>
    </row>
    <row r="188" spans="2:10" ht="15" customHeight="1" x14ac:dyDescent="0.35">
      <c r="B188" s="158" t="s">
        <v>1953</v>
      </c>
      <c r="C188" s="144" t="s">
        <v>1947</v>
      </c>
      <c r="D188" s="144" t="s">
        <v>1959</v>
      </c>
      <c r="E188" s="144" t="s">
        <v>1962</v>
      </c>
      <c r="F188" s="144" t="s">
        <v>1948</v>
      </c>
      <c r="G188" s="144" t="s">
        <v>1972</v>
      </c>
      <c r="H188" s="144">
        <v>0.19912193528600999</v>
      </c>
      <c r="I188" s="144">
        <v>6.5600000000000006E-2</v>
      </c>
      <c r="J188" s="145">
        <v>6.6100000000000006E-2</v>
      </c>
    </row>
    <row r="189" spans="2:10" ht="15" customHeight="1" x14ac:dyDescent="0.35">
      <c r="B189" s="158" t="s">
        <v>1953</v>
      </c>
      <c r="C189" s="144" t="s">
        <v>1947</v>
      </c>
      <c r="D189" s="144" t="s">
        <v>1959</v>
      </c>
      <c r="E189" s="144" t="s">
        <v>1960</v>
      </c>
      <c r="F189" s="144" t="s">
        <v>1948</v>
      </c>
      <c r="G189" s="144" t="s">
        <v>1972</v>
      </c>
      <c r="H189" s="144">
        <v>0.26273838081891898</v>
      </c>
      <c r="I189" s="144">
        <v>1.5900000000000001E-2</v>
      </c>
      <c r="J189" s="145">
        <v>1.7444444444444401E-2</v>
      </c>
    </row>
    <row r="190" spans="2:10" ht="15" customHeight="1" x14ac:dyDescent="0.35">
      <c r="B190" s="158" t="s">
        <v>1953</v>
      </c>
      <c r="C190" s="144" t="s">
        <v>1947</v>
      </c>
      <c r="D190" s="144" t="s">
        <v>1959</v>
      </c>
      <c r="E190" s="144" t="s">
        <v>1961</v>
      </c>
      <c r="F190" s="144" t="s">
        <v>1948</v>
      </c>
      <c r="G190" s="144" t="s">
        <v>1972</v>
      </c>
      <c r="H190" s="144">
        <v>0.370762231008265</v>
      </c>
      <c r="I190" s="144">
        <v>1.72E-2</v>
      </c>
      <c r="J190" s="145">
        <v>1.7444444444444401E-2</v>
      </c>
    </row>
    <row r="191" spans="2:10" ht="15" customHeight="1" x14ac:dyDescent="0.35">
      <c r="B191" s="158" t="s">
        <v>1953</v>
      </c>
      <c r="C191" s="144" t="s">
        <v>1947</v>
      </c>
      <c r="D191" s="144" t="s">
        <v>1962</v>
      </c>
      <c r="E191" s="144" t="s">
        <v>1960</v>
      </c>
      <c r="F191" s="144" t="s">
        <v>1948</v>
      </c>
      <c r="G191" s="144" t="s">
        <v>1972</v>
      </c>
      <c r="H191" s="144">
        <v>0.49373953233939599</v>
      </c>
      <c r="I191" s="144">
        <v>8.6999999999999994E-3</v>
      </c>
      <c r="J191" s="145">
        <v>1.4142857142857099E-2</v>
      </c>
    </row>
    <row r="192" spans="2:10" ht="15" customHeight="1" x14ac:dyDescent="0.35">
      <c r="B192" s="158" t="s">
        <v>1953</v>
      </c>
      <c r="C192" s="144" t="s">
        <v>1947</v>
      </c>
      <c r="D192" s="144" t="s">
        <v>1962</v>
      </c>
      <c r="E192" s="144" t="s">
        <v>1961</v>
      </c>
      <c r="F192" s="144" t="s">
        <v>1948</v>
      </c>
      <c r="G192" s="144" t="s">
        <v>1972</v>
      </c>
      <c r="H192" s="144">
        <v>0.56027059446037697</v>
      </c>
      <c r="I192" s="144">
        <v>9.1999999999999998E-3</v>
      </c>
      <c r="J192" s="145">
        <v>1.4142857142857099E-2</v>
      </c>
    </row>
    <row r="193" spans="2:10" ht="15" customHeight="1" x14ac:dyDescent="0.35">
      <c r="B193" s="158" t="s">
        <v>1953</v>
      </c>
      <c r="C193" s="144" t="s">
        <v>1947</v>
      </c>
      <c r="D193" s="144" t="s">
        <v>1960</v>
      </c>
      <c r="E193" s="144" t="s">
        <v>1961</v>
      </c>
      <c r="F193" s="144" t="s">
        <v>1948</v>
      </c>
      <c r="G193" s="144" t="s">
        <v>1972</v>
      </c>
      <c r="H193" s="144">
        <v>0.403054288073879</v>
      </c>
      <c r="I193" s="144">
        <v>7.4999999999999997E-3</v>
      </c>
      <c r="J193" s="145">
        <v>1.4142857142857099E-2</v>
      </c>
    </row>
    <row r="194" spans="2:10" ht="15" customHeight="1" x14ac:dyDescent="0.35">
      <c r="B194" s="158" t="s">
        <v>1953</v>
      </c>
      <c r="C194" s="144" t="s">
        <v>1947</v>
      </c>
      <c r="D194" s="146" t="s">
        <v>1958</v>
      </c>
      <c r="E194" s="146" t="s">
        <v>1959</v>
      </c>
      <c r="F194" s="146" t="s">
        <v>1949</v>
      </c>
      <c r="G194" s="146" t="s">
        <v>1950</v>
      </c>
      <c r="H194" s="146">
        <v>0.876</v>
      </c>
      <c r="I194" s="146">
        <v>7.9000000000000008E-3</v>
      </c>
      <c r="J194" s="147">
        <v>1.125E-2</v>
      </c>
    </row>
    <row r="195" spans="2:10" ht="15" customHeight="1" x14ac:dyDescent="0.35">
      <c r="B195" s="158" t="s">
        <v>1953</v>
      </c>
      <c r="C195" s="144" t="s">
        <v>1947</v>
      </c>
      <c r="D195" s="146" t="s">
        <v>1958</v>
      </c>
      <c r="E195" s="146" t="s">
        <v>1962</v>
      </c>
      <c r="F195" s="146" t="s">
        <v>1949</v>
      </c>
      <c r="G195" s="146" t="s">
        <v>1950</v>
      </c>
      <c r="H195" s="146">
        <v>0.98399999999999999</v>
      </c>
      <c r="I195" s="146">
        <v>6.7000000000000002E-3</v>
      </c>
      <c r="J195" s="147">
        <v>1.125E-2</v>
      </c>
    </row>
    <row r="196" spans="2:10" ht="15" customHeight="1" x14ac:dyDescent="0.35">
      <c r="B196" s="158" t="s">
        <v>1953</v>
      </c>
      <c r="C196" s="144" t="s">
        <v>1947</v>
      </c>
      <c r="D196" s="146" t="s">
        <v>1958</v>
      </c>
      <c r="E196" s="146" t="s">
        <v>1960</v>
      </c>
      <c r="F196" s="146" t="s">
        <v>1949</v>
      </c>
      <c r="G196" s="146" t="s">
        <v>1950</v>
      </c>
      <c r="H196" s="146">
        <v>0.93200000000000005</v>
      </c>
      <c r="I196" s="146">
        <v>7.7999999999999996E-3</v>
      </c>
      <c r="J196" s="147">
        <v>1.125E-2</v>
      </c>
    </row>
    <row r="197" spans="2:10" ht="15" customHeight="1" x14ac:dyDescent="0.35">
      <c r="B197" s="158" t="s">
        <v>1953</v>
      </c>
      <c r="C197" s="144" t="s">
        <v>1947</v>
      </c>
      <c r="D197" s="146" t="s">
        <v>1958</v>
      </c>
      <c r="E197" s="146" t="s">
        <v>1961</v>
      </c>
      <c r="F197" s="146" t="s">
        <v>1949</v>
      </c>
      <c r="G197" s="146" t="s">
        <v>1950</v>
      </c>
      <c r="H197" s="146">
        <v>0.876</v>
      </c>
      <c r="I197" s="146">
        <v>7.9000000000000008E-3</v>
      </c>
      <c r="J197" s="147">
        <v>1.125E-2</v>
      </c>
    </row>
    <row r="198" spans="2:10" ht="15" customHeight="1" x14ac:dyDescent="0.35">
      <c r="B198" s="158" t="s">
        <v>1953</v>
      </c>
      <c r="C198" s="144" t="s">
        <v>1947</v>
      </c>
      <c r="D198" s="146" t="s">
        <v>1959</v>
      </c>
      <c r="E198" s="146" t="s">
        <v>1962</v>
      </c>
      <c r="F198" s="146" t="s">
        <v>1949</v>
      </c>
      <c r="G198" s="146" t="s">
        <v>1950</v>
      </c>
      <c r="H198" s="146">
        <v>0.20399999999999999</v>
      </c>
      <c r="I198" s="146">
        <v>5.8799999999999998E-2</v>
      </c>
      <c r="J198" s="147">
        <v>5.5399999999999998E-2</v>
      </c>
    </row>
    <row r="199" spans="2:10" ht="15" customHeight="1" x14ac:dyDescent="0.35">
      <c r="B199" s="158" t="s">
        <v>1953</v>
      </c>
      <c r="C199" s="144" t="s">
        <v>1947</v>
      </c>
      <c r="D199" s="146" t="s">
        <v>1959</v>
      </c>
      <c r="E199" s="146" t="s">
        <v>1960</v>
      </c>
      <c r="F199" s="146" t="s">
        <v>1949</v>
      </c>
      <c r="G199" s="146" t="s">
        <v>1950</v>
      </c>
      <c r="H199" s="146">
        <v>0.2</v>
      </c>
      <c r="I199" s="146">
        <v>4.0099999999999997E-2</v>
      </c>
      <c r="J199" s="147">
        <v>4.28888888888889E-2</v>
      </c>
    </row>
    <row r="200" spans="2:10" ht="15" customHeight="1" x14ac:dyDescent="0.35">
      <c r="B200" s="158" t="s">
        <v>1953</v>
      </c>
      <c r="C200" s="144" t="s">
        <v>1947</v>
      </c>
      <c r="D200" s="146" t="s">
        <v>1959</v>
      </c>
      <c r="E200" s="146" t="s">
        <v>1961</v>
      </c>
      <c r="F200" s="146" t="s">
        <v>1949</v>
      </c>
      <c r="G200" s="146" t="s">
        <v>1950</v>
      </c>
      <c r="H200" s="146">
        <v>0.41199999999999998</v>
      </c>
      <c r="I200" s="146">
        <v>7.3000000000000001E-3</v>
      </c>
      <c r="J200" s="147">
        <v>1.125E-2</v>
      </c>
    </row>
    <row r="201" spans="2:10" ht="15" customHeight="1" x14ac:dyDescent="0.35">
      <c r="B201" s="158" t="s">
        <v>1953</v>
      </c>
      <c r="C201" s="144" t="s">
        <v>1947</v>
      </c>
      <c r="D201" s="146" t="s">
        <v>1962</v>
      </c>
      <c r="E201" s="146" t="s">
        <v>1960</v>
      </c>
      <c r="F201" s="146" t="s">
        <v>1949</v>
      </c>
      <c r="G201" s="146" t="s">
        <v>1950</v>
      </c>
      <c r="H201" s="146">
        <v>0.624</v>
      </c>
      <c r="I201" s="146">
        <v>7.7000000000000002E-3</v>
      </c>
      <c r="J201" s="147">
        <v>1.125E-2</v>
      </c>
    </row>
    <row r="202" spans="2:10" ht="15" customHeight="1" x14ac:dyDescent="0.35">
      <c r="B202" s="158" t="s">
        <v>1953</v>
      </c>
      <c r="C202" s="144" t="s">
        <v>1947</v>
      </c>
      <c r="D202" s="146" t="s">
        <v>1962</v>
      </c>
      <c r="E202" s="146" t="s">
        <v>1961</v>
      </c>
      <c r="F202" s="146" t="s">
        <v>1949</v>
      </c>
      <c r="G202" s="146" t="s">
        <v>1950</v>
      </c>
      <c r="H202" s="146">
        <v>0.63200000000000001</v>
      </c>
      <c r="I202" s="146">
        <v>7.0000000000000001E-3</v>
      </c>
      <c r="J202" s="147">
        <v>1.125E-2</v>
      </c>
    </row>
    <row r="203" spans="2:10" ht="15" customHeight="1" x14ac:dyDescent="0.35">
      <c r="B203" s="158" t="s">
        <v>1953</v>
      </c>
      <c r="C203" s="144" t="s">
        <v>1947</v>
      </c>
      <c r="D203" s="146" t="s">
        <v>1960</v>
      </c>
      <c r="E203" s="146" t="s">
        <v>1961</v>
      </c>
      <c r="F203" s="146" t="s">
        <v>1949</v>
      </c>
      <c r="G203" s="146" t="s">
        <v>1950</v>
      </c>
      <c r="H203" s="146">
        <v>0.61599999999999999</v>
      </c>
      <c r="I203" s="146">
        <v>8.3000000000000001E-3</v>
      </c>
      <c r="J203" s="147">
        <v>1.125E-2</v>
      </c>
    </row>
    <row r="204" spans="2:10" ht="15" customHeight="1" x14ac:dyDescent="0.35">
      <c r="B204" s="158" t="s">
        <v>1953</v>
      </c>
      <c r="C204" s="144" t="s">
        <v>1947</v>
      </c>
      <c r="D204" s="144" t="s">
        <v>1958</v>
      </c>
      <c r="E204" s="144" t="s">
        <v>1959</v>
      </c>
      <c r="F204" s="144" t="s">
        <v>1951</v>
      </c>
      <c r="G204" s="144" t="s">
        <v>1514</v>
      </c>
      <c r="H204" s="144">
        <v>0.31091089051049198</v>
      </c>
      <c r="I204" s="144">
        <v>8.9999999999999993E-3</v>
      </c>
      <c r="J204" s="145">
        <v>1.4E-2</v>
      </c>
    </row>
    <row r="205" spans="2:10" ht="15" customHeight="1" x14ac:dyDescent="0.35">
      <c r="B205" s="158" t="s">
        <v>1953</v>
      </c>
      <c r="C205" s="144" t="s">
        <v>1947</v>
      </c>
      <c r="D205" s="144" t="s">
        <v>1958</v>
      </c>
      <c r="E205" s="144" t="s">
        <v>1962</v>
      </c>
      <c r="F205" s="144" t="s">
        <v>1951</v>
      </c>
      <c r="G205" s="144" t="s">
        <v>1514</v>
      </c>
      <c r="H205" s="144">
        <v>0.42751437666430703</v>
      </c>
      <c r="I205" s="144">
        <v>8.0000000000000002E-3</v>
      </c>
      <c r="J205" s="145">
        <v>1.4E-2</v>
      </c>
    </row>
    <row r="206" spans="2:10" ht="15" customHeight="1" x14ac:dyDescent="0.35">
      <c r="B206" s="158" t="s">
        <v>1953</v>
      </c>
      <c r="C206" s="144" t="s">
        <v>1947</v>
      </c>
      <c r="D206" s="144" t="s">
        <v>1958</v>
      </c>
      <c r="E206" s="144" t="s">
        <v>1960</v>
      </c>
      <c r="F206" s="144" t="s">
        <v>1951</v>
      </c>
      <c r="G206" s="144" t="s">
        <v>1514</v>
      </c>
      <c r="H206" s="144">
        <v>0.32534671345851501</v>
      </c>
      <c r="I206" s="144">
        <v>8.3000000000000001E-3</v>
      </c>
      <c r="J206" s="145">
        <v>1.4E-2</v>
      </c>
    </row>
    <row r="207" spans="2:10" ht="15" customHeight="1" x14ac:dyDescent="0.35">
      <c r="B207" s="158" t="s">
        <v>1953</v>
      </c>
      <c r="C207" s="144" t="s">
        <v>1947</v>
      </c>
      <c r="D207" s="144" t="s">
        <v>1958</v>
      </c>
      <c r="E207" s="144" t="s">
        <v>1961</v>
      </c>
      <c r="F207" s="144" t="s">
        <v>1951</v>
      </c>
      <c r="G207" s="144" t="s">
        <v>1514</v>
      </c>
      <c r="H207" s="144">
        <v>0.26070180691429501</v>
      </c>
      <c r="I207" s="144">
        <v>6.8999999999999999E-3</v>
      </c>
      <c r="J207" s="145">
        <v>1.4E-2</v>
      </c>
    </row>
    <row r="208" spans="2:10" ht="15" customHeight="1" x14ac:dyDescent="0.35">
      <c r="B208" s="158" t="s">
        <v>1953</v>
      </c>
      <c r="C208" s="144" t="s">
        <v>1947</v>
      </c>
      <c r="D208" s="144" t="s">
        <v>1959</v>
      </c>
      <c r="E208" s="144" t="s">
        <v>1962</v>
      </c>
      <c r="F208" s="144" t="s">
        <v>1951</v>
      </c>
      <c r="G208" s="144" t="s">
        <v>1514</v>
      </c>
      <c r="H208" s="144">
        <v>6.2247034771357401E-2</v>
      </c>
      <c r="I208" s="144">
        <v>7.0000000000000007E-2</v>
      </c>
      <c r="J208" s="145">
        <v>7.2300000000000003E-2</v>
      </c>
    </row>
    <row r="209" spans="2:10" ht="15" customHeight="1" x14ac:dyDescent="0.35">
      <c r="B209" s="158" t="s">
        <v>1953</v>
      </c>
      <c r="C209" s="144" t="s">
        <v>1947</v>
      </c>
      <c r="D209" s="144" t="s">
        <v>1959</v>
      </c>
      <c r="E209" s="144" t="s">
        <v>1960</v>
      </c>
      <c r="F209" s="144" t="s">
        <v>1951</v>
      </c>
      <c r="G209" s="144" t="s">
        <v>1514</v>
      </c>
      <c r="H209" s="144">
        <v>8.9949225358984003E-2</v>
      </c>
      <c r="I209" s="144">
        <v>1.38E-2</v>
      </c>
      <c r="J209" s="145">
        <v>1.7749999999999998E-2</v>
      </c>
    </row>
    <row r="210" spans="2:10" ht="15" customHeight="1" x14ac:dyDescent="0.35">
      <c r="B210" s="158" t="s">
        <v>1953</v>
      </c>
      <c r="C210" s="144" t="s">
        <v>1947</v>
      </c>
      <c r="D210" s="144" t="s">
        <v>1959</v>
      </c>
      <c r="E210" s="144" t="s">
        <v>1961</v>
      </c>
      <c r="F210" s="144" t="s">
        <v>1951</v>
      </c>
      <c r="G210" s="144" t="s">
        <v>1514</v>
      </c>
      <c r="H210" s="144">
        <v>0.15361993350425299</v>
      </c>
      <c r="I210" s="144">
        <v>1.26E-2</v>
      </c>
      <c r="J210" s="145">
        <v>1.8333333333333299E-2</v>
      </c>
    </row>
    <row r="211" spans="2:10" ht="15" customHeight="1" x14ac:dyDescent="0.35">
      <c r="B211" s="158" t="s">
        <v>1953</v>
      </c>
      <c r="C211" s="144" t="s">
        <v>1947</v>
      </c>
      <c r="D211" s="144" t="s">
        <v>1962</v>
      </c>
      <c r="E211" s="144" t="s">
        <v>1960</v>
      </c>
      <c r="F211" s="144" t="s">
        <v>1951</v>
      </c>
      <c r="G211" s="144" t="s">
        <v>1514</v>
      </c>
      <c r="H211" s="144">
        <v>0.23833785646408401</v>
      </c>
      <c r="I211" s="144">
        <v>8.6E-3</v>
      </c>
      <c r="J211" s="145">
        <v>1.4E-2</v>
      </c>
    </row>
    <row r="212" spans="2:10" ht="15" customHeight="1" x14ac:dyDescent="0.35">
      <c r="B212" s="158" t="s">
        <v>1953</v>
      </c>
      <c r="C212" s="144" t="s">
        <v>1947</v>
      </c>
      <c r="D212" s="144" t="s">
        <v>1962</v>
      </c>
      <c r="E212" s="144" t="s">
        <v>1961</v>
      </c>
      <c r="F212" s="144" t="s">
        <v>1951</v>
      </c>
      <c r="G212" s="144" t="s">
        <v>1514</v>
      </c>
      <c r="H212" s="144">
        <v>0.27475414169856199</v>
      </c>
      <c r="I212" s="144">
        <v>8.6999999999999994E-3</v>
      </c>
      <c r="J212" s="145">
        <v>1.4E-2</v>
      </c>
    </row>
    <row r="213" spans="2:10" ht="15" customHeight="1" x14ac:dyDescent="0.35">
      <c r="B213" s="158" t="s">
        <v>1953</v>
      </c>
      <c r="C213" s="144" t="s">
        <v>1947</v>
      </c>
      <c r="D213" s="144" t="s">
        <v>1960</v>
      </c>
      <c r="E213" s="144" t="s">
        <v>1961</v>
      </c>
      <c r="F213" s="144" t="s">
        <v>1951</v>
      </c>
      <c r="G213" s="144" t="s">
        <v>1514</v>
      </c>
      <c r="H213" s="144">
        <v>0.176758956042915</v>
      </c>
      <c r="I213" s="144">
        <v>8.5000000000000006E-3</v>
      </c>
      <c r="J213" s="145">
        <v>1.4E-2</v>
      </c>
    </row>
    <row r="214" spans="2:10" ht="15" customHeight="1" x14ac:dyDescent="0.35">
      <c r="B214" s="158" t="s">
        <v>1953</v>
      </c>
      <c r="C214" s="144" t="s">
        <v>1942</v>
      </c>
      <c r="D214" s="146" t="s">
        <v>1958</v>
      </c>
      <c r="E214" s="146" t="s">
        <v>1959</v>
      </c>
      <c r="F214" s="146" t="s">
        <v>1948</v>
      </c>
      <c r="G214" s="146" t="s">
        <v>1972</v>
      </c>
      <c r="H214" s="146">
        <v>0.46673894439570501</v>
      </c>
      <c r="I214" s="146">
        <v>1.5100000000000001E-2</v>
      </c>
      <c r="J214" s="147">
        <v>2.2166666666666699E-2</v>
      </c>
    </row>
    <row r="215" spans="2:10" ht="15" customHeight="1" x14ac:dyDescent="0.35">
      <c r="B215" s="158" t="s">
        <v>1953</v>
      </c>
      <c r="C215" s="144" t="s">
        <v>1942</v>
      </c>
      <c r="D215" s="146" t="s">
        <v>1958</v>
      </c>
      <c r="E215" s="146" t="s">
        <v>1962</v>
      </c>
      <c r="F215" s="146" t="s">
        <v>1948</v>
      </c>
      <c r="G215" s="146" t="s">
        <v>1972</v>
      </c>
      <c r="H215" s="146">
        <v>0.80461948625007795</v>
      </c>
      <c r="I215" s="146">
        <v>1.03E-2</v>
      </c>
      <c r="J215" s="147">
        <v>1.66E-2</v>
      </c>
    </row>
    <row r="216" spans="2:10" ht="15" customHeight="1" x14ac:dyDescent="0.35">
      <c r="B216" s="158" t="s">
        <v>1953</v>
      </c>
      <c r="C216" s="144" t="s">
        <v>1942</v>
      </c>
      <c r="D216" s="146" t="s">
        <v>1958</v>
      </c>
      <c r="E216" s="146" t="s">
        <v>1960</v>
      </c>
      <c r="F216" s="146" t="s">
        <v>1948</v>
      </c>
      <c r="G216" s="146" t="s">
        <v>1972</v>
      </c>
      <c r="H216" s="146">
        <v>-0.242134906042003</v>
      </c>
      <c r="I216" s="146">
        <v>1</v>
      </c>
      <c r="J216" s="147">
        <v>1</v>
      </c>
    </row>
    <row r="217" spans="2:10" ht="15" customHeight="1" x14ac:dyDescent="0.35">
      <c r="B217" s="158" t="s">
        <v>1953</v>
      </c>
      <c r="C217" s="144" t="s">
        <v>1942</v>
      </c>
      <c r="D217" s="146" t="s">
        <v>1958</v>
      </c>
      <c r="E217" s="146" t="s">
        <v>1961</v>
      </c>
      <c r="F217" s="146" t="s">
        <v>1948</v>
      </c>
      <c r="G217" s="146" t="s">
        <v>1972</v>
      </c>
      <c r="H217" s="146">
        <v>6.7785947799733307E-2</v>
      </c>
      <c r="I217" s="146">
        <v>0.69510000000000005</v>
      </c>
      <c r="J217" s="147">
        <v>0.76933333333333298</v>
      </c>
    </row>
    <row r="218" spans="2:10" ht="15" customHeight="1" x14ac:dyDescent="0.35">
      <c r="B218" s="158" t="s">
        <v>1953</v>
      </c>
      <c r="C218" s="144" t="s">
        <v>1942</v>
      </c>
      <c r="D218" s="146" t="s">
        <v>1959</v>
      </c>
      <c r="E218" s="146" t="s">
        <v>1962</v>
      </c>
      <c r="F218" s="146" t="s">
        <v>1948</v>
      </c>
      <c r="G218" s="146" t="s">
        <v>1972</v>
      </c>
      <c r="H218" s="146">
        <v>0.23006560366895301</v>
      </c>
      <c r="I218" s="146">
        <v>0.22819999999999999</v>
      </c>
      <c r="J218" s="147">
        <v>0.27550000000000002</v>
      </c>
    </row>
    <row r="219" spans="2:10" ht="15" customHeight="1" x14ac:dyDescent="0.35">
      <c r="B219" s="158" t="s">
        <v>1953</v>
      </c>
      <c r="C219" s="144" t="s">
        <v>1942</v>
      </c>
      <c r="D219" s="146" t="s">
        <v>1959</v>
      </c>
      <c r="E219" s="146" t="s">
        <v>1960</v>
      </c>
      <c r="F219" s="146" t="s">
        <v>1948</v>
      </c>
      <c r="G219" s="146" t="s">
        <v>1972</v>
      </c>
      <c r="H219" s="146">
        <v>0.34800697675589698</v>
      </c>
      <c r="I219" s="146">
        <v>4.1000000000000002E-2</v>
      </c>
      <c r="J219" s="147">
        <v>5.6857142857142898E-2</v>
      </c>
    </row>
    <row r="220" spans="2:10" ht="15" customHeight="1" x14ac:dyDescent="0.35">
      <c r="B220" s="158" t="s">
        <v>1953</v>
      </c>
      <c r="C220" s="144" t="s">
        <v>1942</v>
      </c>
      <c r="D220" s="146" t="s">
        <v>1959</v>
      </c>
      <c r="E220" s="146" t="s">
        <v>1961</v>
      </c>
      <c r="F220" s="146" t="s">
        <v>1948</v>
      </c>
      <c r="G220" s="146" t="s">
        <v>1972</v>
      </c>
      <c r="H220" s="146">
        <v>0.59523578939285704</v>
      </c>
      <c r="I220" s="146">
        <v>7.7999999999999996E-3</v>
      </c>
      <c r="J220" s="147">
        <v>1.66E-2</v>
      </c>
    </row>
    <row r="221" spans="2:10" ht="15" customHeight="1" x14ac:dyDescent="0.35">
      <c r="B221" s="158" t="s">
        <v>1953</v>
      </c>
      <c r="C221" s="144" t="s">
        <v>1942</v>
      </c>
      <c r="D221" s="146" t="s">
        <v>1962</v>
      </c>
      <c r="E221" s="146" t="s">
        <v>1960</v>
      </c>
      <c r="F221" s="146" t="s">
        <v>1948</v>
      </c>
      <c r="G221" s="146" t="s">
        <v>1972</v>
      </c>
      <c r="H221" s="146">
        <v>0.52095780047423002</v>
      </c>
      <c r="I221" s="146">
        <v>7.3000000000000001E-3</v>
      </c>
      <c r="J221" s="147">
        <v>1.66E-2</v>
      </c>
    </row>
    <row r="222" spans="2:10" ht="15" customHeight="1" x14ac:dyDescent="0.35">
      <c r="B222" s="158" t="s">
        <v>1953</v>
      </c>
      <c r="C222" s="144" t="s">
        <v>1942</v>
      </c>
      <c r="D222" s="146" t="s">
        <v>1962</v>
      </c>
      <c r="E222" s="146" t="s">
        <v>1961</v>
      </c>
      <c r="F222" s="146" t="s">
        <v>1948</v>
      </c>
      <c r="G222" s="146" t="s">
        <v>1972</v>
      </c>
      <c r="H222" s="146">
        <v>0.80989542516683</v>
      </c>
      <c r="I222" s="146">
        <v>9.4999999999999998E-3</v>
      </c>
      <c r="J222" s="147">
        <v>1.66E-2</v>
      </c>
    </row>
    <row r="223" spans="2:10" ht="15" customHeight="1" x14ac:dyDescent="0.35">
      <c r="B223" s="158" t="s">
        <v>1953</v>
      </c>
      <c r="C223" s="144" t="s">
        <v>1942</v>
      </c>
      <c r="D223" s="146" t="s">
        <v>1960</v>
      </c>
      <c r="E223" s="146" t="s">
        <v>1961</v>
      </c>
      <c r="F223" s="146" t="s">
        <v>1948</v>
      </c>
      <c r="G223" s="146" t="s">
        <v>1972</v>
      </c>
      <c r="H223" s="146">
        <v>0.51241194871353901</v>
      </c>
      <c r="I223" s="146">
        <v>8.5000000000000006E-3</v>
      </c>
      <c r="J223" s="147">
        <v>1.66E-2</v>
      </c>
    </row>
    <row r="224" spans="2:10" ht="15" customHeight="1" x14ac:dyDescent="0.35">
      <c r="B224" s="158" t="s">
        <v>1953</v>
      </c>
      <c r="C224" s="144" t="s">
        <v>1942</v>
      </c>
      <c r="D224" s="144" t="s">
        <v>1958</v>
      </c>
      <c r="E224" s="144" t="s">
        <v>1959</v>
      </c>
      <c r="F224" s="144" t="s">
        <v>1949</v>
      </c>
      <c r="G224" s="144" t="s">
        <v>1950</v>
      </c>
      <c r="H224" s="144">
        <v>-0.14799999999999999</v>
      </c>
      <c r="I224" s="144">
        <v>0.87949999999999995</v>
      </c>
      <c r="J224" s="145">
        <v>0.97833333333333306</v>
      </c>
    </row>
    <row r="225" spans="2:10" ht="15" customHeight="1" x14ac:dyDescent="0.35">
      <c r="B225" s="158" t="s">
        <v>1953</v>
      </c>
      <c r="C225" s="144" t="s">
        <v>1942</v>
      </c>
      <c r="D225" s="144" t="s">
        <v>1958</v>
      </c>
      <c r="E225" s="144" t="s">
        <v>1962</v>
      </c>
      <c r="F225" s="144" t="s">
        <v>1949</v>
      </c>
      <c r="G225" s="144" t="s">
        <v>1950</v>
      </c>
      <c r="H225" s="144">
        <v>0.63400000000000001</v>
      </c>
      <c r="I225" s="144">
        <v>8.3000000000000001E-3</v>
      </c>
      <c r="J225" s="145">
        <v>1.12857142857143E-2</v>
      </c>
    </row>
    <row r="226" spans="2:10" ht="15" customHeight="1" x14ac:dyDescent="0.35">
      <c r="B226" s="158" t="s">
        <v>1953</v>
      </c>
      <c r="C226" s="144" t="s">
        <v>1942</v>
      </c>
      <c r="D226" s="144" t="s">
        <v>1958</v>
      </c>
      <c r="E226" s="144" t="s">
        <v>1960</v>
      </c>
      <c r="F226" s="144" t="s">
        <v>1949</v>
      </c>
      <c r="G226" s="144" t="s">
        <v>1950</v>
      </c>
      <c r="H226" s="144">
        <v>-0.49</v>
      </c>
      <c r="I226" s="144">
        <v>1</v>
      </c>
      <c r="J226" s="145">
        <v>1</v>
      </c>
    </row>
    <row r="227" spans="2:10" ht="15" customHeight="1" x14ac:dyDescent="0.35">
      <c r="B227" s="158" t="s">
        <v>1953</v>
      </c>
      <c r="C227" s="144" t="s">
        <v>1942</v>
      </c>
      <c r="D227" s="144" t="s">
        <v>1958</v>
      </c>
      <c r="E227" s="144" t="s">
        <v>1961</v>
      </c>
      <c r="F227" s="144" t="s">
        <v>1949</v>
      </c>
      <c r="G227" s="144" t="s">
        <v>1950</v>
      </c>
      <c r="H227" s="144">
        <v>-0.13400000000000001</v>
      </c>
      <c r="I227" s="144">
        <v>0.8256</v>
      </c>
      <c r="J227" s="145">
        <v>0.97833333333333306</v>
      </c>
    </row>
    <row r="228" spans="2:10" ht="15" customHeight="1" x14ac:dyDescent="0.35">
      <c r="B228" s="158" t="s">
        <v>1953</v>
      </c>
      <c r="C228" s="144" t="s">
        <v>1942</v>
      </c>
      <c r="D228" s="144" t="s">
        <v>1959</v>
      </c>
      <c r="E228" s="144" t="s">
        <v>1962</v>
      </c>
      <c r="F228" s="144" t="s">
        <v>1949</v>
      </c>
      <c r="G228" s="144" t="s">
        <v>1950</v>
      </c>
      <c r="H228" s="144">
        <v>0.3</v>
      </c>
      <c r="I228" s="144">
        <v>7.9000000000000008E-3</v>
      </c>
      <c r="J228" s="145">
        <v>1.12857142857143E-2</v>
      </c>
    </row>
    <row r="229" spans="2:10" ht="15" customHeight="1" x14ac:dyDescent="0.35">
      <c r="B229" s="158" t="s">
        <v>1953</v>
      </c>
      <c r="C229" s="144" t="s">
        <v>1942</v>
      </c>
      <c r="D229" s="144" t="s">
        <v>1959</v>
      </c>
      <c r="E229" s="144" t="s">
        <v>1960</v>
      </c>
      <c r="F229" s="144" t="s">
        <v>1949</v>
      </c>
      <c r="G229" s="144" t="s">
        <v>1950</v>
      </c>
      <c r="H229" s="144">
        <v>0.58199999999999996</v>
      </c>
      <c r="I229" s="144">
        <v>7.9000000000000008E-3</v>
      </c>
      <c r="J229" s="145">
        <v>1.12857142857143E-2</v>
      </c>
    </row>
    <row r="230" spans="2:10" ht="15" customHeight="1" x14ac:dyDescent="0.35">
      <c r="B230" s="158" t="s">
        <v>1953</v>
      </c>
      <c r="C230" s="144" t="s">
        <v>1942</v>
      </c>
      <c r="D230" s="144" t="s">
        <v>1959</v>
      </c>
      <c r="E230" s="144" t="s">
        <v>1961</v>
      </c>
      <c r="F230" s="144" t="s">
        <v>1949</v>
      </c>
      <c r="G230" s="144" t="s">
        <v>1950</v>
      </c>
      <c r="H230" s="144">
        <v>0.71599999999999997</v>
      </c>
      <c r="I230" s="144">
        <v>7.7999999999999996E-3</v>
      </c>
      <c r="J230" s="145">
        <v>1.12857142857143E-2</v>
      </c>
    </row>
    <row r="231" spans="2:10" ht="15" customHeight="1" x14ac:dyDescent="0.35">
      <c r="B231" s="158" t="s">
        <v>1953</v>
      </c>
      <c r="C231" s="144" t="s">
        <v>1942</v>
      </c>
      <c r="D231" s="144" t="s">
        <v>1962</v>
      </c>
      <c r="E231" s="144" t="s">
        <v>1960</v>
      </c>
      <c r="F231" s="144" t="s">
        <v>1949</v>
      </c>
      <c r="G231" s="144" t="s">
        <v>1950</v>
      </c>
      <c r="H231" s="144">
        <v>0.51</v>
      </c>
      <c r="I231" s="144">
        <v>7.4000000000000003E-3</v>
      </c>
      <c r="J231" s="145">
        <v>1.12857142857143E-2</v>
      </c>
    </row>
    <row r="232" spans="2:10" ht="15" customHeight="1" x14ac:dyDescent="0.35">
      <c r="B232" s="158" t="s">
        <v>1953</v>
      </c>
      <c r="C232" s="144" t="s">
        <v>1942</v>
      </c>
      <c r="D232" s="144" t="s">
        <v>1962</v>
      </c>
      <c r="E232" s="144" t="s">
        <v>1961</v>
      </c>
      <c r="F232" s="144" t="s">
        <v>1949</v>
      </c>
      <c r="G232" s="144" t="s">
        <v>1950</v>
      </c>
      <c r="H232" s="144">
        <v>0.68799999999999994</v>
      </c>
      <c r="I232" s="144">
        <v>6.4000000000000003E-3</v>
      </c>
      <c r="J232" s="145">
        <v>1.12857142857143E-2</v>
      </c>
    </row>
    <row r="233" spans="2:10" ht="15" customHeight="1" x14ac:dyDescent="0.35">
      <c r="B233" s="158" t="s">
        <v>1953</v>
      </c>
      <c r="C233" s="144" t="s">
        <v>1942</v>
      </c>
      <c r="D233" s="144" t="s">
        <v>1960</v>
      </c>
      <c r="E233" s="144" t="s">
        <v>1961</v>
      </c>
      <c r="F233" s="144" t="s">
        <v>1949</v>
      </c>
      <c r="G233" s="144" t="s">
        <v>1950</v>
      </c>
      <c r="H233" s="144">
        <v>0.71599999999999997</v>
      </c>
      <c r="I233" s="144">
        <v>7.7000000000000002E-3</v>
      </c>
      <c r="J233" s="145">
        <v>1.12857142857143E-2</v>
      </c>
    </row>
    <row r="234" spans="2:10" ht="15" customHeight="1" x14ac:dyDescent="0.35">
      <c r="B234" s="158" t="s">
        <v>1953</v>
      </c>
      <c r="C234" s="144" t="s">
        <v>1942</v>
      </c>
      <c r="D234" s="146" t="s">
        <v>1958</v>
      </c>
      <c r="E234" s="146" t="s">
        <v>1959</v>
      </c>
      <c r="F234" s="146" t="s">
        <v>1951</v>
      </c>
      <c r="G234" s="146" t="s">
        <v>1514</v>
      </c>
      <c r="H234" s="146">
        <v>9.3452364382187597E-2</v>
      </c>
      <c r="I234" s="146">
        <v>0.15809999999999999</v>
      </c>
      <c r="J234" s="147">
        <v>0.19437499999999999</v>
      </c>
    </row>
    <row r="235" spans="2:10" ht="15" customHeight="1" x14ac:dyDescent="0.35">
      <c r="B235" s="158" t="s">
        <v>1953</v>
      </c>
      <c r="C235" s="144" t="s">
        <v>1942</v>
      </c>
      <c r="D235" s="146" t="s">
        <v>1958</v>
      </c>
      <c r="E235" s="146" t="s">
        <v>1962</v>
      </c>
      <c r="F235" s="146" t="s">
        <v>1951</v>
      </c>
      <c r="G235" s="146" t="s">
        <v>1514</v>
      </c>
      <c r="H235" s="146">
        <v>0.51906462417516297</v>
      </c>
      <c r="I235" s="146">
        <v>8.0999999999999996E-3</v>
      </c>
      <c r="J235" s="147">
        <v>1.9800000000000002E-2</v>
      </c>
    </row>
    <row r="236" spans="2:10" ht="15" customHeight="1" x14ac:dyDescent="0.35">
      <c r="B236" s="158" t="s">
        <v>1953</v>
      </c>
      <c r="C236" s="144" t="s">
        <v>1942</v>
      </c>
      <c r="D236" s="146" t="s">
        <v>1958</v>
      </c>
      <c r="E236" s="146" t="s">
        <v>1960</v>
      </c>
      <c r="F236" s="146" t="s">
        <v>1951</v>
      </c>
      <c r="G236" s="146" t="s">
        <v>1514</v>
      </c>
      <c r="H236" s="146">
        <v>-0.22371588518059801</v>
      </c>
      <c r="I236" s="146">
        <v>1</v>
      </c>
      <c r="J236" s="147">
        <v>1</v>
      </c>
    </row>
    <row r="237" spans="2:10" ht="15" customHeight="1" x14ac:dyDescent="0.35">
      <c r="B237" s="158" t="s">
        <v>1953</v>
      </c>
      <c r="C237" s="144" t="s">
        <v>1942</v>
      </c>
      <c r="D237" s="146" t="s">
        <v>1958</v>
      </c>
      <c r="E237" s="146" t="s">
        <v>1961</v>
      </c>
      <c r="F237" s="146" t="s">
        <v>1951</v>
      </c>
      <c r="G237" s="146" t="s">
        <v>1514</v>
      </c>
      <c r="H237" s="146">
        <v>-4.4527796489834098E-2</v>
      </c>
      <c r="I237" s="146">
        <v>0.74239999999999995</v>
      </c>
      <c r="J237" s="147">
        <v>0.82855555555555604</v>
      </c>
    </row>
    <row r="238" spans="2:10" ht="15" customHeight="1" x14ac:dyDescent="0.35">
      <c r="B238" s="158" t="s">
        <v>1953</v>
      </c>
      <c r="C238" s="144" t="s">
        <v>1942</v>
      </c>
      <c r="D238" s="146" t="s">
        <v>1959</v>
      </c>
      <c r="E238" s="146" t="s">
        <v>1962</v>
      </c>
      <c r="F238" s="146" t="s">
        <v>1951</v>
      </c>
      <c r="G238" s="146" t="s">
        <v>1514</v>
      </c>
      <c r="H238" s="146">
        <v>0.123461218472946</v>
      </c>
      <c r="I238" s="146">
        <v>3.1199999999999999E-2</v>
      </c>
      <c r="J238" s="147">
        <v>4.0428571428571397E-2</v>
      </c>
    </row>
    <row r="239" spans="2:10" ht="15" customHeight="1" x14ac:dyDescent="0.35">
      <c r="B239" s="158" t="s">
        <v>1953</v>
      </c>
      <c r="C239" s="144" t="s">
        <v>1942</v>
      </c>
      <c r="D239" s="146" t="s">
        <v>1959</v>
      </c>
      <c r="E239" s="146" t="s">
        <v>1960</v>
      </c>
      <c r="F239" s="146" t="s">
        <v>1951</v>
      </c>
      <c r="G239" s="146" t="s">
        <v>1514</v>
      </c>
      <c r="H239" s="146">
        <v>0.17017941380905399</v>
      </c>
      <c r="I239" s="146">
        <v>1.5599999999999999E-2</v>
      </c>
      <c r="J239" s="147">
        <v>2.6833333333333299E-2</v>
      </c>
    </row>
    <row r="240" spans="2:10" ht="15" customHeight="1" x14ac:dyDescent="0.35">
      <c r="B240" s="158" t="s">
        <v>1953</v>
      </c>
      <c r="C240" s="144" t="s">
        <v>1942</v>
      </c>
      <c r="D240" s="146" t="s">
        <v>1959</v>
      </c>
      <c r="E240" s="146" t="s">
        <v>1961</v>
      </c>
      <c r="F240" s="146" t="s">
        <v>1951</v>
      </c>
      <c r="G240" s="146" t="s">
        <v>1514</v>
      </c>
      <c r="H240" s="146">
        <v>0.31191960855005402</v>
      </c>
      <c r="I240" s="146">
        <v>8.8000000000000005E-3</v>
      </c>
      <c r="J240" s="147">
        <v>1.9800000000000002E-2</v>
      </c>
    </row>
    <row r="241" spans="2:10" ht="15" customHeight="1" x14ac:dyDescent="0.35">
      <c r="B241" s="158" t="s">
        <v>1953</v>
      </c>
      <c r="C241" s="144" t="s">
        <v>1942</v>
      </c>
      <c r="D241" s="146" t="s">
        <v>1962</v>
      </c>
      <c r="E241" s="146" t="s">
        <v>1960</v>
      </c>
      <c r="F241" s="146" t="s">
        <v>1951</v>
      </c>
      <c r="G241" s="146" t="s">
        <v>1514</v>
      </c>
      <c r="H241" s="146">
        <v>0.27476993782347497</v>
      </c>
      <c r="I241" s="146">
        <v>7.0000000000000001E-3</v>
      </c>
      <c r="J241" s="147">
        <v>1.9800000000000002E-2</v>
      </c>
    </row>
    <row r="242" spans="2:10" ht="15" customHeight="1" x14ac:dyDescent="0.35">
      <c r="B242" s="158" t="s">
        <v>1953</v>
      </c>
      <c r="C242" s="144" t="s">
        <v>1942</v>
      </c>
      <c r="D242" s="146" t="s">
        <v>1962</v>
      </c>
      <c r="E242" s="146" t="s">
        <v>1961</v>
      </c>
      <c r="F242" s="146" t="s">
        <v>1951</v>
      </c>
      <c r="G242" s="146" t="s">
        <v>1514</v>
      </c>
      <c r="H242" s="146">
        <v>0.49146273847231597</v>
      </c>
      <c r="I242" s="146">
        <v>7.9000000000000008E-3</v>
      </c>
      <c r="J242" s="147">
        <v>1.9800000000000002E-2</v>
      </c>
    </row>
    <row r="243" spans="2:10" ht="15" customHeight="1" x14ac:dyDescent="0.35">
      <c r="B243" s="158" t="s">
        <v>1953</v>
      </c>
      <c r="C243" s="144" t="s">
        <v>1942</v>
      </c>
      <c r="D243" s="146" t="s">
        <v>1960</v>
      </c>
      <c r="E243" s="146" t="s">
        <v>1961</v>
      </c>
      <c r="F243" s="146" t="s">
        <v>1951</v>
      </c>
      <c r="G243" s="146" t="s">
        <v>1514</v>
      </c>
      <c r="H243" s="146">
        <v>0.261697749375157</v>
      </c>
      <c r="I243" s="146">
        <v>6.1000000000000004E-3</v>
      </c>
      <c r="J243" s="147">
        <v>1.9800000000000002E-2</v>
      </c>
    </row>
    <row r="244" spans="2:10" ht="15" customHeight="1" x14ac:dyDescent="0.35">
      <c r="B244" s="158" t="s">
        <v>1953</v>
      </c>
      <c r="C244" s="144" t="s">
        <v>1943</v>
      </c>
      <c r="D244" s="144" t="s">
        <v>1958</v>
      </c>
      <c r="E244" s="144" t="s">
        <v>1959</v>
      </c>
      <c r="F244" s="144" t="s">
        <v>1948</v>
      </c>
      <c r="G244" s="144" t="s">
        <v>1972</v>
      </c>
      <c r="H244" s="144">
        <v>0.76749832416174302</v>
      </c>
      <c r="I244" s="144">
        <v>7.7999999999999996E-3</v>
      </c>
      <c r="J244" s="145">
        <v>2.35E-2</v>
      </c>
    </row>
    <row r="245" spans="2:10" ht="15" customHeight="1" x14ac:dyDescent="0.35">
      <c r="B245" s="158" t="s">
        <v>1953</v>
      </c>
      <c r="C245" s="144" t="s">
        <v>1943</v>
      </c>
      <c r="D245" s="144" t="s">
        <v>1958</v>
      </c>
      <c r="E245" s="144" t="s">
        <v>1962</v>
      </c>
      <c r="F245" s="144" t="s">
        <v>1948</v>
      </c>
      <c r="G245" s="144" t="s">
        <v>1972</v>
      </c>
      <c r="H245" s="144">
        <v>0.55012476934524102</v>
      </c>
      <c r="I245" s="144">
        <v>7.3000000000000001E-3</v>
      </c>
      <c r="J245" s="145">
        <v>2.35E-2</v>
      </c>
    </row>
    <row r="246" spans="2:10" ht="15" customHeight="1" x14ac:dyDescent="0.35">
      <c r="B246" s="158" t="s">
        <v>1953</v>
      </c>
      <c r="C246" s="144" t="s">
        <v>1943</v>
      </c>
      <c r="D246" s="144" t="s">
        <v>1958</v>
      </c>
      <c r="E246" s="144" t="s">
        <v>1960</v>
      </c>
      <c r="F246" s="144" t="s">
        <v>1948</v>
      </c>
      <c r="G246" s="144" t="s">
        <v>1972</v>
      </c>
      <c r="H246" s="144">
        <v>0.89674523489258495</v>
      </c>
      <c r="I246" s="144">
        <v>6.7000000000000002E-3</v>
      </c>
      <c r="J246" s="145">
        <v>2.35E-2</v>
      </c>
    </row>
    <row r="247" spans="2:10" ht="15" customHeight="1" x14ac:dyDescent="0.35">
      <c r="B247" s="158" t="s">
        <v>1953</v>
      </c>
      <c r="C247" s="144" t="s">
        <v>1943</v>
      </c>
      <c r="D247" s="144" t="s">
        <v>1958</v>
      </c>
      <c r="E247" s="144" t="s">
        <v>1961</v>
      </c>
      <c r="F247" s="144" t="s">
        <v>1948</v>
      </c>
      <c r="G247" s="144" t="s">
        <v>1972</v>
      </c>
      <c r="H247" s="144">
        <v>0.76028636328413401</v>
      </c>
      <c r="I247" s="144">
        <v>7.6E-3</v>
      </c>
      <c r="J247" s="145">
        <v>2.35E-2</v>
      </c>
    </row>
    <row r="248" spans="2:10" ht="15" customHeight="1" x14ac:dyDescent="0.35">
      <c r="B248" s="158" t="s">
        <v>1953</v>
      </c>
      <c r="C248" s="144" t="s">
        <v>1943</v>
      </c>
      <c r="D248" s="144" t="s">
        <v>1959</v>
      </c>
      <c r="E248" s="144" t="s">
        <v>1962</v>
      </c>
      <c r="F248" s="144" t="s">
        <v>1948</v>
      </c>
      <c r="G248" s="144" t="s">
        <v>1972</v>
      </c>
      <c r="H248" s="144">
        <v>0.16465422233214799</v>
      </c>
      <c r="I248" s="144">
        <v>0.2296</v>
      </c>
      <c r="J248" s="145">
        <v>0.37933333333333302</v>
      </c>
    </row>
    <row r="249" spans="2:10" ht="15" customHeight="1" x14ac:dyDescent="0.35">
      <c r="B249" s="158" t="s">
        <v>1953</v>
      </c>
      <c r="C249" s="144" t="s">
        <v>1943</v>
      </c>
      <c r="D249" s="144" t="s">
        <v>1959</v>
      </c>
      <c r="E249" s="144" t="s">
        <v>1960</v>
      </c>
      <c r="F249" s="144" t="s">
        <v>1948</v>
      </c>
      <c r="G249" s="144" t="s">
        <v>1972</v>
      </c>
      <c r="H249" s="144">
        <v>7.63406186419055E-2</v>
      </c>
      <c r="I249" s="144">
        <v>0.4677</v>
      </c>
      <c r="J249" s="145">
        <v>0.51944444444444404</v>
      </c>
    </row>
    <row r="250" spans="2:10" ht="15" customHeight="1" x14ac:dyDescent="0.35">
      <c r="B250" s="158" t="s">
        <v>1953</v>
      </c>
      <c r="C250" s="144" t="s">
        <v>1943</v>
      </c>
      <c r="D250" s="144" t="s">
        <v>1959</v>
      </c>
      <c r="E250" s="144" t="s">
        <v>1961</v>
      </c>
      <c r="F250" s="144" t="s">
        <v>1948</v>
      </c>
      <c r="G250" s="144" t="s">
        <v>1972</v>
      </c>
      <c r="H250" s="144">
        <v>-3.8820107049038897E-2</v>
      </c>
      <c r="I250" s="144">
        <v>1</v>
      </c>
      <c r="J250" s="145">
        <v>1</v>
      </c>
    </row>
    <row r="251" spans="2:10" ht="15" customHeight="1" x14ac:dyDescent="0.35">
      <c r="B251" s="158" t="s">
        <v>1953</v>
      </c>
      <c r="C251" s="144" t="s">
        <v>1943</v>
      </c>
      <c r="D251" s="144" t="s">
        <v>1962</v>
      </c>
      <c r="E251" s="144" t="s">
        <v>1960</v>
      </c>
      <c r="F251" s="144" t="s">
        <v>1948</v>
      </c>
      <c r="G251" s="144" t="s">
        <v>1972</v>
      </c>
      <c r="H251" s="144">
        <v>0.40798406654617098</v>
      </c>
      <c r="I251" s="144">
        <v>6.2700000000000006E-2</v>
      </c>
      <c r="J251" s="145">
        <v>0.13120000000000001</v>
      </c>
    </row>
    <row r="252" spans="2:10" ht="15" customHeight="1" x14ac:dyDescent="0.35">
      <c r="B252" s="158" t="s">
        <v>1953</v>
      </c>
      <c r="C252" s="144" t="s">
        <v>1943</v>
      </c>
      <c r="D252" s="144" t="s">
        <v>1962</v>
      </c>
      <c r="E252" s="144" t="s">
        <v>1961</v>
      </c>
      <c r="F252" s="144" t="s">
        <v>1948</v>
      </c>
      <c r="G252" s="144" t="s">
        <v>1972</v>
      </c>
      <c r="H252" s="144">
        <v>7.7972244461910506E-2</v>
      </c>
      <c r="I252" s="144">
        <v>0.35010000000000002</v>
      </c>
      <c r="J252" s="145">
        <v>0.42837500000000001</v>
      </c>
    </row>
    <row r="253" spans="2:10" ht="15" customHeight="1" x14ac:dyDescent="0.35">
      <c r="B253" s="158" t="s">
        <v>1953</v>
      </c>
      <c r="C253" s="144" t="s">
        <v>1943</v>
      </c>
      <c r="D253" s="144" t="s">
        <v>1960</v>
      </c>
      <c r="E253" s="144" t="s">
        <v>1961</v>
      </c>
      <c r="F253" s="144" t="s">
        <v>1948</v>
      </c>
      <c r="G253" s="144" t="s">
        <v>1972</v>
      </c>
      <c r="H253" s="144">
        <v>0.14367879206249301</v>
      </c>
      <c r="I253" s="144">
        <v>0.27739999999999998</v>
      </c>
      <c r="J253" s="145">
        <v>0.38642857142857101</v>
      </c>
    </row>
    <row r="254" spans="2:10" ht="15" customHeight="1" x14ac:dyDescent="0.35">
      <c r="B254" s="158" t="s">
        <v>1953</v>
      </c>
      <c r="C254" s="144" t="s">
        <v>1943</v>
      </c>
      <c r="D254" s="146" t="s">
        <v>1958</v>
      </c>
      <c r="E254" s="146" t="s">
        <v>1959</v>
      </c>
      <c r="F254" s="146" t="s">
        <v>1949</v>
      </c>
      <c r="G254" s="146" t="s">
        <v>1950</v>
      </c>
      <c r="H254" s="146">
        <v>0.83199999999999996</v>
      </c>
      <c r="I254" s="146">
        <v>7.6E-3</v>
      </c>
      <c r="J254" s="147">
        <v>2.1000000000000001E-2</v>
      </c>
    </row>
    <row r="255" spans="2:10" ht="15" customHeight="1" x14ac:dyDescent="0.35">
      <c r="B255" s="158" t="s">
        <v>1953</v>
      </c>
      <c r="C255" s="144" t="s">
        <v>1943</v>
      </c>
      <c r="D255" s="146" t="s">
        <v>1958</v>
      </c>
      <c r="E255" s="146" t="s">
        <v>1962</v>
      </c>
      <c r="F255" s="146" t="s">
        <v>1949</v>
      </c>
      <c r="G255" s="146" t="s">
        <v>1950</v>
      </c>
      <c r="H255" s="146">
        <v>0.44400000000000001</v>
      </c>
      <c r="I255" s="146">
        <v>8.5000000000000006E-3</v>
      </c>
      <c r="J255" s="147">
        <v>2.1000000000000001E-2</v>
      </c>
    </row>
    <row r="256" spans="2:10" ht="15" customHeight="1" x14ac:dyDescent="0.35">
      <c r="B256" s="158" t="s">
        <v>1953</v>
      </c>
      <c r="C256" s="144" t="s">
        <v>1943</v>
      </c>
      <c r="D256" s="146" t="s">
        <v>1958</v>
      </c>
      <c r="E256" s="146" t="s">
        <v>1960</v>
      </c>
      <c r="F256" s="146" t="s">
        <v>1949</v>
      </c>
      <c r="G256" s="146" t="s">
        <v>1950</v>
      </c>
      <c r="H256" s="146">
        <v>1</v>
      </c>
      <c r="I256" s="146">
        <v>8.0000000000000002E-3</v>
      </c>
      <c r="J256" s="147">
        <v>2.1000000000000001E-2</v>
      </c>
    </row>
    <row r="257" spans="2:10" ht="15" customHeight="1" x14ac:dyDescent="0.35">
      <c r="B257" s="158" t="s">
        <v>1953</v>
      </c>
      <c r="C257" s="144" t="s">
        <v>1943</v>
      </c>
      <c r="D257" s="146" t="s">
        <v>1958</v>
      </c>
      <c r="E257" s="146" t="s">
        <v>1961</v>
      </c>
      <c r="F257" s="146" t="s">
        <v>1949</v>
      </c>
      <c r="G257" s="146" t="s">
        <v>1950</v>
      </c>
      <c r="H257" s="146">
        <v>0.85199999999999998</v>
      </c>
      <c r="I257" s="146">
        <v>7.0000000000000001E-3</v>
      </c>
      <c r="J257" s="147">
        <v>2.1000000000000001E-2</v>
      </c>
    </row>
    <row r="258" spans="2:10" ht="15" customHeight="1" x14ac:dyDescent="0.35">
      <c r="B258" s="158" t="s">
        <v>1953</v>
      </c>
      <c r="C258" s="144" t="s">
        <v>1943</v>
      </c>
      <c r="D258" s="146" t="s">
        <v>1959</v>
      </c>
      <c r="E258" s="146" t="s">
        <v>1962</v>
      </c>
      <c r="F258" s="146" t="s">
        <v>1949</v>
      </c>
      <c r="G258" s="146" t="s">
        <v>1950</v>
      </c>
      <c r="H258" s="146">
        <v>0.02</v>
      </c>
      <c r="I258" s="146">
        <v>0.29370000000000002</v>
      </c>
      <c r="J258" s="147">
        <v>0.48666666666666702</v>
      </c>
    </row>
    <row r="259" spans="2:10" ht="15" customHeight="1" x14ac:dyDescent="0.35">
      <c r="B259" s="158" t="s">
        <v>1953</v>
      </c>
      <c r="C259" s="144" t="s">
        <v>1943</v>
      </c>
      <c r="D259" s="146" t="s">
        <v>1959</v>
      </c>
      <c r="E259" s="146" t="s">
        <v>1960</v>
      </c>
      <c r="F259" s="146" t="s">
        <v>1949</v>
      </c>
      <c r="G259" s="146" t="s">
        <v>1950</v>
      </c>
      <c r="H259" s="146">
        <v>-0.11600000000000001</v>
      </c>
      <c r="I259" s="146">
        <v>0.89149999999999996</v>
      </c>
      <c r="J259" s="147">
        <v>0.92379999999999995</v>
      </c>
    </row>
    <row r="260" spans="2:10" ht="15" customHeight="1" x14ac:dyDescent="0.35">
      <c r="B260" s="158" t="s">
        <v>1953</v>
      </c>
      <c r="C260" s="144" t="s">
        <v>1943</v>
      </c>
      <c r="D260" s="146" t="s">
        <v>1959</v>
      </c>
      <c r="E260" s="146" t="s">
        <v>1961</v>
      </c>
      <c r="F260" s="146" t="s">
        <v>1949</v>
      </c>
      <c r="G260" s="146" t="s">
        <v>1950</v>
      </c>
      <c r="H260" s="146">
        <v>-0.156</v>
      </c>
      <c r="I260" s="146">
        <v>0.91349999999999998</v>
      </c>
      <c r="J260" s="147">
        <v>0.92379999999999995</v>
      </c>
    </row>
    <row r="261" spans="2:10" ht="15" customHeight="1" x14ac:dyDescent="0.35">
      <c r="B261" s="158" t="s">
        <v>1953</v>
      </c>
      <c r="C261" s="144" t="s">
        <v>1943</v>
      </c>
      <c r="D261" s="146" t="s">
        <v>1962</v>
      </c>
      <c r="E261" s="146" t="s">
        <v>1960</v>
      </c>
      <c r="F261" s="146" t="s">
        <v>1949</v>
      </c>
      <c r="G261" s="146" t="s">
        <v>1950</v>
      </c>
      <c r="H261" s="146">
        <v>0.29599999999999999</v>
      </c>
      <c r="I261" s="146">
        <v>6.83E-2</v>
      </c>
      <c r="J261" s="147">
        <v>0.11940000000000001</v>
      </c>
    </row>
    <row r="262" spans="2:10" ht="15" customHeight="1" x14ac:dyDescent="0.35">
      <c r="B262" s="158" t="s">
        <v>1953</v>
      </c>
      <c r="C262" s="144" t="s">
        <v>1943</v>
      </c>
      <c r="D262" s="146" t="s">
        <v>1962</v>
      </c>
      <c r="E262" s="146" t="s">
        <v>1961</v>
      </c>
      <c r="F262" s="146" t="s">
        <v>1949</v>
      </c>
      <c r="G262" s="146" t="s">
        <v>1950</v>
      </c>
      <c r="H262" s="146">
        <v>-0.14199999999999999</v>
      </c>
      <c r="I262" s="146">
        <v>0.91559999999999997</v>
      </c>
      <c r="J262" s="147">
        <v>0.92379999999999995</v>
      </c>
    </row>
    <row r="263" spans="2:10" ht="15" customHeight="1" x14ac:dyDescent="0.35">
      <c r="B263" s="158" t="s">
        <v>1953</v>
      </c>
      <c r="C263" s="144" t="s">
        <v>1943</v>
      </c>
      <c r="D263" s="146" t="s">
        <v>1960</v>
      </c>
      <c r="E263" s="146" t="s">
        <v>1961</v>
      </c>
      <c r="F263" s="146" t="s">
        <v>1949</v>
      </c>
      <c r="G263" s="146" t="s">
        <v>1950</v>
      </c>
      <c r="H263" s="146">
        <v>-3.9999999999999897E-3</v>
      </c>
      <c r="I263" s="146">
        <v>0.41570000000000001</v>
      </c>
      <c r="J263" s="147">
        <v>0.58685714285714297</v>
      </c>
    </row>
    <row r="264" spans="2:10" ht="15" customHeight="1" x14ac:dyDescent="0.35">
      <c r="B264" s="158" t="s">
        <v>1953</v>
      </c>
      <c r="C264" s="144" t="s">
        <v>1943</v>
      </c>
      <c r="D264" s="144" t="s">
        <v>1958</v>
      </c>
      <c r="E264" s="144" t="s">
        <v>1959</v>
      </c>
      <c r="F264" s="144" t="s">
        <v>1951</v>
      </c>
      <c r="G264" s="144" t="s">
        <v>1514</v>
      </c>
      <c r="H264" s="144">
        <v>0.48623954940243402</v>
      </c>
      <c r="I264" s="144">
        <v>7.9000000000000008E-3</v>
      </c>
      <c r="J264" s="145">
        <v>2.325E-2</v>
      </c>
    </row>
    <row r="265" spans="2:10" ht="15" customHeight="1" x14ac:dyDescent="0.35">
      <c r="B265" s="158" t="s">
        <v>1953</v>
      </c>
      <c r="C265" s="144" t="s">
        <v>1943</v>
      </c>
      <c r="D265" s="144" t="s">
        <v>1958</v>
      </c>
      <c r="E265" s="144" t="s">
        <v>1962</v>
      </c>
      <c r="F265" s="144" t="s">
        <v>1951</v>
      </c>
      <c r="G265" s="144" t="s">
        <v>1514</v>
      </c>
      <c r="H265" s="144">
        <v>0.288392356838089</v>
      </c>
      <c r="I265" s="144">
        <v>7.4999999999999997E-3</v>
      </c>
      <c r="J265" s="145">
        <v>2.325E-2</v>
      </c>
    </row>
    <row r="266" spans="2:10" ht="15" customHeight="1" x14ac:dyDescent="0.35">
      <c r="B266" s="158" t="s">
        <v>1953</v>
      </c>
      <c r="C266" s="144" t="s">
        <v>1943</v>
      </c>
      <c r="D266" s="144" t="s">
        <v>1958</v>
      </c>
      <c r="E266" s="144" t="s">
        <v>1960</v>
      </c>
      <c r="F266" s="144" t="s">
        <v>1951</v>
      </c>
      <c r="G266" s="144" t="s">
        <v>1514</v>
      </c>
      <c r="H266" s="144">
        <v>0.65152872066430301</v>
      </c>
      <c r="I266" s="144">
        <v>7.3000000000000001E-3</v>
      </c>
      <c r="J266" s="145">
        <v>2.325E-2</v>
      </c>
    </row>
    <row r="267" spans="2:10" ht="15" customHeight="1" x14ac:dyDescent="0.35">
      <c r="B267" s="158" t="s">
        <v>1953</v>
      </c>
      <c r="C267" s="144" t="s">
        <v>1943</v>
      </c>
      <c r="D267" s="144" t="s">
        <v>1958</v>
      </c>
      <c r="E267" s="144" t="s">
        <v>1961</v>
      </c>
      <c r="F267" s="144" t="s">
        <v>1951</v>
      </c>
      <c r="G267" s="144" t="s">
        <v>1514</v>
      </c>
      <c r="H267" s="144">
        <v>0.48685194629529699</v>
      </c>
      <c r="I267" s="144">
        <v>8.9999999999999993E-3</v>
      </c>
      <c r="J267" s="145">
        <v>2.325E-2</v>
      </c>
    </row>
    <row r="268" spans="2:10" ht="15" customHeight="1" x14ac:dyDescent="0.35">
      <c r="B268" s="158" t="s">
        <v>1953</v>
      </c>
      <c r="C268" s="144" t="s">
        <v>1943</v>
      </c>
      <c r="D268" s="144" t="s">
        <v>1959</v>
      </c>
      <c r="E268" s="144" t="s">
        <v>1962</v>
      </c>
      <c r="F268" s="144" t="s">
        <v>1951</v>
      </c>
      <c r="G268" s="144" t="s">
        <v>1514</v>
      </c>
      <c r="H268" s="144">
        <v>1.5475146435922E-2</v>
      </c>
      <c r="I268" s="144">
        <v>0.2908</v>
      </c>
      <c r="J268" s="145">
        <v>0.48299999999999998</v>
      </c>
    </row>
    <row r="269" spans="2:10" ht="15" customHeight="1" x14ac:dyDescent="0.35">
      <c r="B269" s="158" t="s">
        <v>1953</v>
      </c>
      <c r="C269" s="144" t="s">
        <v>1943</v>
      </c>
      <c r="D269" s="144" t="s">
        <v>1959</v>
      </c>
      <c r="E269" s="144" t="s">
        <v>1960</v>
      </c>
      <c r="F269" s="144" t="s">
        <v>1951</v>
      </c>
      <c r="G269" s="144" t="s">
        <v>1514</v>
      </c>
      <c r="H269" s="144">
        <v>-5.3149768057455297E-2</v>
      </c>
      <c r="I269" s="144">
        <v>0.70569999999999999</v>
      </c>
      <c r="J269" s="145">
        <v>0.79088888888888897</v>
      </c>
    </row>
    <row r="270" spans="2:10" ht="15" customHeight="1" x14ac:dyDescent="0.35">
      <c r="B270" s="158" t="s">
        <v>1953</v>
      </c>
      <c r="C270" s="144" t="s">
        <v>1943</v>
      </c>
      <c r="D270" s="144" t="s">
        <v>1959</v>
      </c>
      <c r="E270" s="144" t="s">
        <v>1961</v>
      </c>
      <c r="F270" s="144" t="s">
        <v>1951</v>
      </c>
      <c r="G270" s="144" t="s">
        <v>1514</v>
      </c>
      <c r="H270" s="144">
        <v>-0.118521348240296</v>
      </c>
      <c r="I270" s="144">
        <v>1</v>
      </c>
      <c r="J270" s="145">
        <v>1</v>
      </c>
    </row>
    <row r="271" spans="2:10" ht="15" customHeight="1" x14ac:dyDescent="0.35">
      <c r="B271" s="158" t="s">
        <v>1953</v>
      </c>
      <c r="C271" s="144" t="s">
        <v>1943</v>
      </c>
      <c r="D271" s="144" t="s">
        <v>1962</v>
      </c>
      <c r="E271" s="144" t="s">
        <v>1960</v>
      </c>
      <c r="F271" s="144" t="s">
        <v>1951</v>
      </c>
      <c r="G271" s="144" t="s">
        <v>1514</v>
      </c>
      <c r="H271" s="144">
        <v>0.19957390836015201</v>
      </c>
      <c r="I271" s="144">
        <v>6.5299999999999997E-2</v>
      </c>
      <c r="J271" s="145">
        <v>0.127</v>
      </c>
    </row>
    <row r="272" spans="2:10" ht="15" customHeight="1" x14ac:dyDescent="0.35">
      <c r="B272" s="158" t="s">
        <v>1953</v>
      </c>
      <c r="C272" s="144" t="s">
        <v>1943</v>
      </c>
      <c r="D272" s="144" t="s">
        <v>1962</v>
      </c>
      <c r="E272" s="144" t="s">
        <v>1961</v>
      </c>
      <c r="F272" s="144" t="s">
        <v>1951</v>
      </c>
      <c r="G272" s="144" t="s">
        <v>1514</v>
      </c>
      <c r="H272" s="144">
        <v>-5.0360627618391003E-2</v>
      </c>
      <c r="I272" s="144">
        <v>0.51019999999999999</v>
      </c>
      <c r="J272" s="145">
        <v>0.63375000000000004</v>
      </c>
    </row>
    <row r="273" spans="2:10" ht="15" customHeight="1" thickBot="1" x14ac:dyDescent="0.4">
      <c r="B273" s="159" t="s">
        <v>1953</v>
      </c>
      <c r="C273" s="148" t="s">
        <v>1943</v>
      </c>
      <c r="D273" s="148" t="s">
        <v>1960</v>
      </c>
      <c r="E273" s="148" t="s">
        <v>1961</v>
      </c>
      <c r="F273" s="148" t="s">
        <v>1951</v>
      </c>
      <c r="G273" s="148" t="s">
        <v>1514</v>
      </c>
      <c r="H273" s="148">
        <v>4.8441906666691903E-3</v>
      </c>
      <c r="I273" s="148">
        <v>0.41889999999999999</v>
      </c>
      <c r="J273" s="149">
        <v>0.58514285714285696</v>
      </c>
    </row>
    <row r="275" spans="2:10" ht="15" customHeight="1" x14ac:dyDescent="0.35">
      <c r="B275" s="164" t="s">
        <v>1875</v>
      </c>
    </row>
    <row r="276" spans="2:10" ht="15" customHeight="1" x14ac:dyDescent="0.35">
      <c r="B276" s="179" t="s">
        <v>1981</v>
      </c>
      <c r="C276" s="179"/>
      <c r="D276" s="179"/>
      <c r="E276" s="179"/>
      <c r="F276" s="179"/>
      <c r="G276" s="179"/>
      <c r="H276" s="179"/>
      <c r="I276" s="179"/>
      <c r="J276" s="179"/>
    </row>
    <row r="277" spans="2:10" ht="15" customHeight="1" x14ac:dyDescent="0.35">
      <c r="B277" s="179"/>
      <c r="C277" s="179"/>
      <c r="D277" s="179"/>
      <c r="E277" s="179"/>
      <c r="F277" s="179"/>
      <c r="G277" s="179"/>
      <c r="H277" s="179"/>
      <c r="I277" s="179"/>
      <c r="J277" s="179"/>
    </row>
    <row r="278" spans="2:10" ht="15" customHeight="1" x14ac:dyDescent="0.35">
      <c r="B278" s="179"/>
      <c r="C278" s="179"/>
      <c r="D278" s="179"/>
      <c r="E278" s="179"/>
      <c r="F278" s="179"/>
      <c r="G278" s="179"/>
      <c r="H278" s="179"/>
      <c r="I278" s="179"/>
      <c r="J278" s="179"/>
    </row>
    <row r="279" spans="2:10" ht="15" customHeight="1" x14ac:dyDescent="0.35">
      <c r="B279" s="179"/>
      <c r="C279" s="179"/>
      <c r="D279" s="179"/>
      <c r="E279" s="179"/>
      <c r="F279" s="179"/>
      <c r="G279" s="179"/>
      <c r="H279" s="179"/>
      <c r="I279" s="179"/>
      <c r="J279" s="179"/>
    </row>
    <row r="280" spans="2:10" ht="15" customHeight="1" x14ac:dyDescent="0.35">
      <c r="B280" s="179"/>
      <c r="C280" s="179"/>
      <c r="D280" s="179"/>
      <c r="E280" s="179"/>
      <c r="F280" s="179"/>
      <c r="G280" s="179"/>
      <c r="H280" s="179"/>
      <c r="I280" s="179"/>
      <c r="J280" s="179"/>
    </row>
    <row r="281" spans="2:10" ht="15" customHeight="1" x14ac:dyDescent="0.35">
      <c r="B281" s="179"/>
      <c r="C281" s="179"/>
      <c r="D281" s="179"/>
      <c r="E281" s="179"/>
      <c r="F281" s="179"/>
      <c r="G281" s="179"/>
      <c r="H281" s="179"/>
      <c r="I281" s="179"/>
      <c r="J281" s="179"/>
    </row>
    <row r="282" spans="2:10" ht="15" customHeight="1" x14ac:dyDescent="0.35">
      <c r="B282" s="179"/>
      <c r="C282" s="179"/>
      <c r="D282" s="179"/>
      <c r="E282" s="179"/>
      <c r="F282" s="179"/>
      <c r="G282" s="179"/>
      <c r="H282" s="179"/>
      <c r="I282" s="179"/>
      <c r="J282" s="179"/>
    </row>
    <row r="283" spans="2:10" ht="15" customHeight="1" x14ac:dyDescent="0.35">
      <c r="B283" s="179"/>
      <c r="C283" s="179"/>
      <c r="D283" s="179"/>
      <c r="E283" s="179"/>
      <c r="F283" s="179"/>
      <c r="G283" s="179"/>
      <c r="H283" s="179"/>
      <c r="I283" s="179"/>
      <c r="J283" s="179"/>
    </row>
    <row r="284" spans="2:10" ht="15" customHeight="1" x14ac:dyDescent="0.35">
      <c r="B284" s="179"/>
      <c r="C284" s="179"/>
      <c r="D284" s="179"/>
      <c r="E284" s="179"/>
      <c r="F284" s="179"/>
      <c r="G284" s="179"/>
      <c r="H284" s="179"/>
      <c r="I284" s="179"/>
      <c r="J284" s="179"/>
    </row>
    <row r="285" spans="2:10" ht="15" customHeight="1" x14ac:dyDescent="0.35">
      <c r="B285" s="179"/>
      <c r="C285" s="179"/>
      <c r="D285" s="179"/>
      <c r="E285" s="179"/>
      <c r="F285" s="179"/>
      <c r="G285" s="179"/>
      <c r="H285" s="179"/>
      <c r="I285" s="179"/>
      <c r="J285" s="179"/>
    </row>
  </sheetData>
  <mergeCells count="3">
    <mergeCell ref="G3:H3"/>
    <mergeCell ref="B2:J2"/>
    <mergeCell ref="B276:J285"/>
  </mergeCells>
  <phoneticPr fontId="1" type="noConversion"/>
  <pageMargins left="0.7" right="0.7"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1_Oribatid abundance</vt:lpstr>
      <vt:lpstr>2_Oribatid traits</vt:lpstr>
      <vt:lpstr>2.1_Trait coding</vt:lpstr>
      <vt:lpstr>2.2_Trophic evidence</vt:lpstr>
      <vt:lpstr>2.3_Reproduction evidence</vt:lpstr>
      <vt:lpstr>2.4_Body size</vt:lpstr>
      <vt:lpstr>3_Ecological predictors</vt:lpstr>
      <vt:lpstr>4_Moss community</vt:lpstr>
      <vt:lpstr>5_Pairwise beta</vt:lpstr>
      <vt:lpstr>6_Pairwise landscape 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weiq</dc:creator>
  <cp:lastModifiedBy>猫咪 小</cp:lastModifiedBy>
  <cp:lastPrinted>2026-03-29T01:52:12Z</cp:lastPrinted>
  <dcterms:created xsi:type="dcterms:W3CDTF">2015-06-05T18:19:34Z</dcterms:created>
  <dcterms:modified xsi:type="dcterms:W3CDTF">2026-06-05T10:38:34Z</dcterms:modified>
</cp:coreProperties>
</file>